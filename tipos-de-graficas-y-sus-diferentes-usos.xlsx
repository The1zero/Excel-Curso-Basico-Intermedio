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9BE4747C-9C29-467D-91BA-A623F53147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F44" i="1"/>
  <c r="F43" i="1"/>
  <c r="F42" i="1"/>
</calcChain>
</file>

<file path=xl/sharedStrings.xml><?xml version="1.0" encoding="utf-8"?>
<sst xmlns="http://schemas.openxmlformats.org/spreadsheetml/2006/main" count="31" uniqueCount="16">
  <si>
    <t>Ventas 2016</t>
  </si>
  <si>
    <t>Ventas 2017</t>
  </si>
  <si>
    <t>Permite ver diferencias entre los años en cada una de las ciudades</t>
  </si>
  <si>
    <t>Bogotá</t>
  </si>
  <si>
    <t>Medellín</t>
  </si>
  <si>
    <t>Cali</t>
  </si>
  <si>
    <t>Ventas 207</t>
  </si>
  <si>
    <t>Cambiar filas por columnas</t>
  </si>
  <si>
    <t>Permite ver los cambios de un periodo a otro</t>
  </si>
  <si>
    <t>Permite ver tendencias</t>
  </si>
  <si>
    <t>Permite ver la diferencia entre un elemento los otros</t>
  </si>
  <si>
    <t>Permite ver las proporciones claramente</t>
  </si>
  <si>
    <t>2016 (P)</t>
  </si>
  <si>
    <t>Es muy útil analizando porcentajes</t>
  </si>
  <si>
    <t>Año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</si>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</sst>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0" fillId="0" borderId="1" xfId="1" applyFont="1" applyBorder="1"/>
    <xf numFmtId="9" fontId="2" fillId="0" borderId="1" xfId="0" applyNumberFormat="1" applyFont="1" applyBorder="1" applyAlignment="1">
      <alignment horizontal="center"/>
    </xf>
    <xf numFmtId="9" fontId="0" fillId="0" borderId="1" xfId="2" applyFont="1" applyBorder="1"/>
    <xf numFmtId="164" fontId="0" fillId="0" borderId="0" xfId="1" applyFont="1"/>
    <xf numFmtId="0" fontId="3" fillId="0" borderId="0" xfId="3"/>
    <xf numFmtId="0" fontId="4" fillId="0" borderId="0" xfId="0" applyFont="1"/>
  </cellXfs>
  <cellStyles count="4">
    <cellStyle name="Hipervínculo" xfId="3" builtinId="8"/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  <a:r>
              <a:rPr lang="es-MX" baseline="0"/>
              <a:t> por ciudades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1'!$C$5</c:f>
              <c:strCache>
                <c:ptCount val="1"/>
                <c:pt idx="0">
                  <c:v>Ventas 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'Hoja 1'!$B$6:$B$8</c:f>
              <c:strCache>
                <c:ptCount val="3"/>
                <c:pt idx="0">
                  <c:v>Bogotá</c:v>
                </c:pt>
                <c:pt idx="1">
                  <c:v>Medellín</c:v>
                </c:pt>
                <c:pt idx="2">
                  <c:v>Cali</c:v>
                </c:pt>
              </c:strCache>
            </c:strRef>
          </c:cat>
          <c:val>
            <c:numRef>
              <c:f>'Hoja 1'!$C$6:$C$8</c:f>
              <c:numCache>
                <c:formatCode>_-"$"\ * #,##0_-;\-"$"\ * #,##0_-;_-"$"\ * "-"_-;_-@_-</c:formatCode>
                <c:ptCount val="3"/>
                <c:pt idx="0">
                  <c:v>5000000</c:v>
                </c:pt>
                <c:pt idx="1">
                  <c:v>3000000</c:v>
                </c:pt>
                <c:pt idx="2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3-45E4-85EC-E35748C4C7B9}"/>
            </c:ext>
          </c:extLst>
        </c:ser>
        <c:ser>
          <c:idx val="1"/>
          <c:order val="1"/>
          <c:tx>
            <c:strRef>
              <c:f>'Hoja 1'!$D$5</c:f>
              <c:strCache>
                <c:ptCount val="1"/>
                <c:pt idx="0">
                  <c:v>Ventas 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'Hoja 1'!$B$6:$B$8</c:f>
              <c:strCache>
                <c:ptCount val="3"/>
                <c:pt idx="0">
                  <c:v>Bogotá</c:v>
                </c:pt>
                <c:pt idx="1">
                  <c:v>Medellín</c:v>
                </c:pt>
                <c:pt idx="2">
                  <c:v>Cali</c:v>
                </c:pt>
              </c:strCache>
            </c:strRef>
          </c:cat>
          <c:val>
            <c:numRef>
              <c:f>'Hoja 1'!$D$6:$D$8</c:f>
              <c:numCache>
                <c:formatCode>_-"$"\ * #,##0_-;\-"$"\ * #,##0_-;_-"$"\ * "-"_-;_-@_-</c:formatCode>
                <c:ptCount val="3"/>
                <c:pt idx="0">
                  <c:v>6000000</c:v>
                </c:pt>
                <c:pt idx="1">
                  <c:v>3300000</c:v>
                </c:pt>
                <c:pt idx="2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3-45E4-85EC-E35748C4C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646704"/>
        <c:axId val="542643824"/>
      </c:barChart>
      <c:catAx>
        <c:axId val="5426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2643824"/>
        <c:crosses val="autoZero"/>
        <c:auto val="1"/>
        <c:lblAlgn val="ctr"/>
        <c:lblOffset val="100"/>
        <c:noMultiLvlLbl val="0"/>
      </c:catAx>
      <c:valAx>
        <c:axId val="54264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26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'Hoja 1'!$B$17</c:f>
              <c:strCache>
                <c:ptCount val="1"/>
                <c:pt idx="0">
                  <c:v>Bogotá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'Hoja 1'!$C$16:$D$16</c:f>
              <c:strCache>
                <c:ptCount val="2"/>
                <c:pt idx="0">
                  <c:v>Ventas 2016</c:v>
                </c:pt>
                <c:pt idx="1">
                  <c:v>Ventas 2017</c:v>
                </c:pt>
              </c:strCache>
            </c:strRef>
          </c:cat>
          <c:val>
            <c:numRef>
              <c:f>'Hoja 1'!$C$17:$D$17</c:f>
              <c:numCache>
                <c:formatCode>_-"$"\ * #,##0_-;\-"$"\ * #,##0_-;_-"$"\ * "-"_-;_-@_-</c:formatCode>
                <c:ptCount val="2"/>
                <c:pt idx="0">
                  <c:v>5000000</c:v>
                </c:pt>
                <c:pt idx="1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D-4E4F-856C-1BD5ABF288E2}"/>
            </c:ext>
          </c:extLst>
        </c:ser>
        <c:ser>
          <c:idx val="1"/>
          <c:order val="1"/>
          <c:tx>
            <c:strRef>
              <c:f>'Hoja 1'!$B$18</c:f>
              <c:strCache>
                <c:ptCount val="1"/>
                <c:pt idx="0">
                  <c:v>Medellín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'Hoja 1'!$C$16:$D$16</c:f>
              <c:strCache>
                <c:ptCount val="2"/>
                <c:pt idx="0">
                  <c:v>Ventas 2016</c:v>
                </c:pt>
                <c:pt idx="1">
                  <c:v>Ventas 2017</c:v>
                </c:pt>
              </c:strCache>
            </c:strRef>
          </c:cat>
          <c:val>
            <c:numRef>
              <c:f>'Hoja 1'!$C$18:$D$18</c:f>
              <c:numCache>
                <c:formatCode>_-"$"\ * #,##0_-;\-"$"\ * #,##0_-;_-"$"\ * "-"_-;_-@_-</c:formatCode>
                <c:ptCount val="2"/>
                <c:pt idx="0">
                  <c:v>3000000</c:v>
                </c:pt>
                <c:pt idx="1">
                  <c:v>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D-4E4F-856C-1BD5ABF288E2}"/>
            </c:ext>
          </c:extLst>
        </c:ser>
        <c:ser>
          <c:idx val="2"/>
          <c:order val="2"/>
          <c:tx>
            <c:strRef>
              <c:f>'Hoja 1'!$B$19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'Hoja 1'!$C$16:$D$16</c:f>
              <c:strCache>
                <c:ptCount val="2"/>
                <c:pt idx="0">
                  <c:v>Ventas 2016</c:v>
                </c:pt>
                <c:pt idx="1">
                  <c:v>Ventas 2017</c:v>
                </c:pt>
              </c:strCache>
            </c:strRef>
          </c:cat>
          <c:val>
            <c:numRef>
              <c:f>'Hoja 1'!$C$19:$D$19</c:f>
              <c:numCache>
                <c:formatCode>_-"$"\ * #,##0_-;\-"$"\ * #,##0_-;_-"$"\ * "-"_-;_-@_-</c:formatCode>
                <c:ptCount val="2"/>
                <c:pt idx="0">
                  <c:v>1000000</c:v>
                </c:pt>
                <c:pt idx="1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5D-4E4F-856C-1BD5ABF28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631824"/>
        <c:axId val="542648624"/>
      </c:barChart>
      <c:catAx>
        <c:axId val="54263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2648624"/>
        <c:crosses val="autoZero"/>
        <c:auto val="1"/>
        <c:lblAlgn val="ctr"/>
        <c:lblOffset val="100"/>
        <c:noMultiLvlLbl val="0"/>
      </c:catAx>
      <c:valAx>
        <c:axId val="5426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263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'Hoja 1'!$B$29</c:f>
              <c:strCache>
                <c:ptCount val="1"/>
                <c:pt idx="0">
                  <c:v>Bogotá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 1'!$C$28:$D$28</c:f>
              <c:strCache>
                <c:ptCount val="2"/>
                <c:pt idx="0">
                  <c:v>Ventas 2016</c:v>
                </c:pt>
                <c:pt idx="1">
                  <c:v>Ventas 207</c:v>
                </c:pt>
              </c:strCache>
            </c:strRef>
          </c:cat>
          <c:val>
            <c:numRef>
              <c:f>'Hoja 1'!$C$29:$D$29</c:f>
              <c:numCache>
                <c:formatCode>_-"$"\ * #,##0_-;\-"$"\ * #,##0_-;_-"$"\ * "-"_-;_-@_-</c:formatCode>
                <c:ptCount val="2"/>
                <c:pt idx="0">
                  <c:v>5000000</c:v>
                </c:pt>
                <c:pt idx="1">
                  <c:v>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5-4FA6-9254-26172AC2F3D8}"/>
            </c:ext>
          </c:extLst>
        </c:ser>
        <c:ser>
          <c:idx val="1"/>
          <c:order val="1"/>
          <c:tx>
            <c:strRef>
              <c:f>'Hoja 1'!$B$30</c:f>
              <c:strCache>
                <c:ptCount val="1"/>
                <c:pt idx="0">
                  <c:v>Medellín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 1'!$C$28:$D$28</c:f>
              <c:strCache>
                <c:ptCount val="2"/>
                <c:pt idx="0">
                  <c:v>Ventas 2016</c:v>
                </c:pt>
                <c:pt idx="1">
                  <c:v>Ventas 207</c:v>
                </c:pt>
              </c:strCache>
            </c:strRef>
          </c:cat>
          <c:val>
            <c:numRef>
              <c:f>'Hoja 1'!$C$30:$D$30</c:f>
              <c:numCache>
                <c:formatCode>_-"$"\ * #,##0_-;\-"$"\ * #,##0_-;_-"$"\ * "-"_-;_-@_-</c:formatCode>
                <c:ptCount val="2"/>
                <c:pt idx="0">
                  <c:v>3000000</c:v>
                </c:pt>
                <c:pt idx="1">
                  <c:v>3300000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5-4FA6-9254-26172AC2F3D8}"/>
            </c:ext>
          </c:extLst>
        </c:ser>
        <c:ser>
          <c:idx val="2"/>
          <c:order val="2"/>
          <c:tx>
            <c:strRef>
              <c:f>'Hoja 1'!$B$31</c:f>
              <c:strCache>
                <c:ptCount val="1"/>
                <c:pt idx="0">
                  <c:v>Cali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 1'!$C$28:$D$28</c:f>
              <c:strCache>
                <c:ptCount val="2"/>
                <c:pt idx="0">
                  <c:v>Ventas 2016</c:v>
                </c:pt>
                <c:pt idx="1">
                  <c:v>Ventas 207</c:v>
                </c:pt>
              </c:strCache>
            </c:strRef>
          </c:cat>
          <c:val>
            <c:numRef>
              <c:f>'Hoja 1'!$C$31:$D$31</c:f>
              <c:numCache>
                <c:formatCode>_-"$"\ * #,##0_-;\-"$"\ * #,##0_-;_-"$"\ * "-"_-;_-@_-</c:formatCode>
                <c:ptCount val="2"/>
                <c:pt idx="0">
                  <c:v>1000000</c:v>
                </c:pt>
                <c:pt idx="1">
                  <c:v>1500000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45-4FA6-9254-26172AC2F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603264"/>
        <c:axId val="912600384"/>
      </c:lineChart>
      <c:catAx>
        <c:axId val="9126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600384"/>
        <c:crosses val="autoZero"/>
        <c:auto val="1"/>
        <c:lblAlgn val="ctr"/>
        <c:lblOffset val="100"/>
        <c:noMultiLvlLbl val="0"/>
      </c:catAx>
      <c:valAx>
        <c:axId val="91260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6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'Hoja 1'!$F$41</c:f>
              <c:strCache>
                <c:ptCount val="1"/>
                <c:pt idx="0">
                  <c:v>2016 (P)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'Hoja 1'!$E$42:$E$44</c:f>
              <c:strCache>
                <c:ptCount val="3"/>
                <c:pt idx="0">
                  <c:v>Bogotá</c:v>
                </c:pt>
                <c:pt idx="1">
                  <c:v>Medellín</c:v>
                </c:pt>
                <c:pt idx="2">
                  <c:v>Cali</c:v>
                </c:pt>
              </c:strCache>
            </c:strRef>
          </c:cat>
          <c:val>
            <c:numRef>
              <c:f>'Hoja 1'!$F$42:$F$44</c:f>
              <c:numCache>
                <c:formatCode>0%</c:formatCode>
                <c:ptCount val="3"/>
                <c:pt idx="0">
                  <c:v>0.55555555555555558</c:v>
                </c:pt>
                <c:pt idx="1">
                  <c:v>0.33333333333333331</c:v>
                </c:pt>
                <c:pt idx="2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E-4274-8533-2DBD389A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'Hoja 1'!$C$51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'Hoja 1'!$B$52:$B$64</c:f>
              <c:numCache>
                <c:formatCode>General</c:formatCode>
                <c:ptCount val="1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</c:numCache>
            </c:numRef>
          </c:cat>
          <c:val>
            <c:numRef>
              <c:f>'Hoja 1'!$C$52:$C$64</c:f>
              <c:numCache>
                <c:formatCode>_-"$"\ * #,##0_-;\-"$"\ * #,##0_-;_-"$"\ * "-"_-;_-@_-</c:formatCode>
                <c:ptCount val="13"/>
                <c:pt idx="0">
                  <c:v>6396289</c:v>
                </c:pt>
                <c:pt idx="1">
                  <c:v>5952934</c:v>
                </c:pt>
                <c:pt idx="2">
                  <c:v>3838064</c:v>
                </c:pt>
                <c:pt idx="3">
                  <c:v>5690255</c:v>
                </c:pt>
                <c:pt idx="4">
                  <c:v>1582583</c:v>
                </c:pt>
                <c:pt idx="5">
                  <c:v>6039564</c:v>
                </c:pt>
                <c:pt idx="6">
                  <c:v>11366477</c:v>
                </c:pt>
                <c:pt idx="7">
                  <c:v>19741778</c:v>
                </c:pt>
                <c:pt idx="8">
                  <c:v>5973775</c:v>
                </c:pt>
                <c:pt idx="9">
                  <c:v>6000000</c:v>
                </c:pt>
                <c:pt idx="10">
                  <c:v>13590346</c:v>
                </c:pt>
                <c:pt idx="11">
                  <c:v>9315152</c:v>
                </c:pt>
                <c:pt idx="12">
                  <c:v>15900915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B-461A-B56A-F8511E5C4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589344"/>
        <c:axId val="912597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'Hoja 1'!$B$51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'Hoja 1'!$B$52:$B$64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'Hoja 1'!$B$52:$B$64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0BB-461A-B56A-F8511E5C4EB3}"/>
                  </c:ext>
                </c:extLst>
              </c15:ser>
            </c15:filteredLineSeries>
          </c:ext>
        </c:extLst>
      </c:lineChart>
      <c:catAx>
        <c:axId val="91258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597024"/>
        <c:crosses val="autoZero"/>
        <c:auto val="1"/>
        <c:lblAlgn val="ctr"/>
        <c:lblOffset val="100"/>
        <c:noMultiLvlLbl val="0"/>
      </c:catAx>
      <c:valAx>
        <c:axId val="9125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258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85725</xdr:rowOff>
    </xdr:from>
    <xdr:to>
      <xdr:col>10</xdr:col>
      <xdr:colOff>514350</xdr:colOff>
      <xdr:row>10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804FD2-9ED4-B766-1D24-AF0F92663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409574</xdr:colOff>
      <xdr:row>12</xdr:row>
      <xdr:rowOff>38100</xdr:rowOff>
    </xdr:from>
    <xdr:to>
      <xdr:col>10</xdr:col>
      <xdr:colOff>323849</xdr:colOff>
      <xdr:row>22</xdr:row>
      <xdr:rowOff>23811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16B80C-A4BD-99DE-AC2B-63485C93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533400</xdr:colOff>
      <xdr:row>23</xdr:row>
      <xdr:rowOff>161924</xdr:rowOff>
    </xdr:from>
    <xdr:to>
      <xdr:col>10</xdr:col>
      <xdr:colOff>552450</xdr:colOff>
      <xdr:row>34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B80798-59BC-53D4-592B-4BF454930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209550</xdr:colOff>
      <xdr:row>37</xdr:row>
      <xdr:rowOff>28574</xdr:rowOff>
    </xdr:from>
    <xdr:to>
      <xdr:col>11</xdr:col>
      <xdr:colOff>533400</xdr:colOff>
      <xdr:row>46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E46AF0-C92B-653D-149C-C62CC1632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504825</xdr:colOff>
      <xdr:row>51</xdr:row>
      <xdr:rowOff>61912</xdr:rowOff>
    </xdr:from>
    <xdr:to>
      <xdr:col>13</xdr:col>
      <xdr:colOff>9525</xdr:colOff>
      <xdr:row>65</xdr:row>
      <xdr:rowOff>4762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05A9E8F-7581-131E-2AE1-EFB038FC4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C5" t="str">
            <v>Ventas 2016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B5:M69"/>
  <sheetViews>
    <sheetView tabSelected="1" topLeftCell="A51" workbookViewId="0">
      <selection activeCell="B51" sqref="B51:C64"/>
    </sheetView>
  </sheetViews>
  <sheetFormatPr baseColWidth="10" defaultColWidth="9.140625" defaultRowHeight="15.75" x14ac:dyDescent="0.25"/>
  <cols>
    <col min="2" max="2" width="8.85546875" bestFit="1" customWidth="1"/>
    <col min="3" max="3" width="13.140625" bestFit="1" customWidth="1"/>
    <col min="4" max="4" width="12" bestFit="1" customWidth="1"/>
    <col min="12" max="12" width="9.140625" style="8"/>
    <col min="13" max="14" width="12" bestFit="1" customWidth="1"/>
  </cols>
  <sheetData>
    <row r="5" spans="2:12" x14ac:dyDescent="0.25">
      <c r="B5" s="1"/>
      <c r="C5" s="2" t="s">
        <v>0</v>
      </c>
      <c r="D5" s="2" t="s">
        <v>1</v>
      </c>
      <c r="L5" s="8" t="s">
        <v>2</v>
      </c>
    </row>
    <row r="6" spans="2:12" x14ac:dyDescent="0.25">
      <c r="B6" s="2" t="s">
        <v>3</v>
      </c>
      <c r="C6" s="3">
        <v>5000000</v>
      </c>
      <c r="D6" s="3">
        <v>6000000</v>
      </c>
    </row>
    <row r="7" spans="2:12" x14ac:dyDescent="0.25">
      <c r="B7" s="2" t="s">
        <v>4</v>
      </c>
      <c r="C7" s="3">
        <v>3000000</v>
      </c>
      <c r="D7" s="3">
        <v>3300000</v>
      </c>
    </row>
    <row r="8" spans="2:12" x14ac:dyDescent="0.25">
      <c r="B8" s="2" t="s">
        <v>5</v>
      </c>
      <c r="C8" s="3">
        <v>1000000</v>
      </c>
      <c r="D8" s="3">
        <v>1500000</v>
      </c>
    </row>
    <row r="16" spans="2:12" x14ac:dyDescent="0.25">
      <c r="B16" s="1"/>
      <c r="C16" s="2" t="s">
        <v>0</v>
      </c>
      <c r="D16" s="2" t="s">
        <v>1</v>
      </c>
      <c r="L16" s="8" t="s">
        <v>2</v>
      </c>
    </row>
    <row r="17" spans="2:12" x14ac:dyDescent="0.25">
      <c r="B17" s="2" t="s">
        <v>3</v>
      </c>
      <c r="C17" s="3">
        <v>5000000</v>
      </c>
      <c r="D17" s="3">
        <v>6000000</v>
      </c>
    </row>
    <row r="18" spans="2:12" x14ac:dyDescent="0.25">
      <c r="B18" s="2" t="s">
        <v>4</v>
      </c>
      <c r="C18" s="3">
        <v>3000000</v>
      </c>
      <c r="D18" s="3">
        <v>3300000</v>
      </c>
    </row>
    <row r="19" spans="2:12" x14ac:dyDescent="0.25">
      <c r="B19" s="2" t="s">
        <v>5</v>
      </c>
      <c r="C19" s="3">
        <v>1000000</v>
      </c>
      <c r="D19" s="3">
        <v>1500000</v>
      </c>
    </row>
    <row r="28" spans="2:12" x14ac:dyDescent="0.25">
      <c r="B28" s="1"/>
      <c r="C28" s="2" t="s">
        <v>0</v>
      </c>
      <c r="D28" s="2" t="s">
        <v>6</v>
      </c>
      <c r="L28" s="8" t="s">
        <v>7</v>
      </c>
    </row>
    <row r="29" spans="2:12" x14ac:dyDescent="0.25">
      <c r="B29" s="2" t="s">
        <v>3</v>
      </c>
      <c r="C29" s="3">
        <v>5000000</v>
      </c>
      <c r="D29" s="3">
        <v>6000000</v>
      </c>
      <c r="L29" s="8" t="s">
        <v>8</v>
      </c>
    </row>
    <row r="30" spans="2:12" x14ac:dyDescent="0.25">
      <c r="B30" s="2" t="s">
        <v>4</v>
      </c>
      <c r="C30" s="3">
        <v>3000000</v>
      </c>
      <c r="D30" s="3">
        <v>3300000</v>
      </c>
      <c r="L30" s="8" t="s">
        <v>9</v>
      </c>
    </row>
    <row r="31" spans="2:12" x14ac:dyDescent="0.25">
      <c r="B31" s="2" t="s">
        <v>5</v>
      </c>
      <c r="C31" s="3">
        <v>1000000</v>
      </c>
      <c r="D31" s="3">
        <v>1500000</v>
      </c>
      <c r="L31" s="8" t="s">
        <v>10</v>
      </c>
    </row>
    <row r="40" spans="3:13" x14ac:dyDescent="0.25">
      <c r="M40" t="s">
        <v>11</v>
      </c>
    </row>
    <row r="41" spans="3:13" x14ac:dyDescent="0.25">
      <c r="C41" s="2" t="s">
        <v>0</v>
      </c>
      <c r="D41" s="2" t="s">
        <v>6</v>
      </c>
      <c r="E41" s="1"/>
      <c r="F41" s="4" t="s">
        <v>12</v>
      </c>
      <c r="M41" t="s">
        <v>13</v>
      </c>
    </row>
    <row r="42" spans="3:13" x14ac:dyDescent="0.25">
      <c r="C42" s="3">
        <v>5000000</v>
      </c>
      <c r="D42" s="3">
        <v>6000000</v>
      </c>
      <c r="E42" s="2" t="s">
        <v>3</v>
      </c>
      <c r="F42" s="5">
        <f>C42/SUM($C$42:$C$44)</f>
        <v>0.55555555555555558</v>
      </c>
    </row>
    <row r="43" spans="3:13" x14ac:dyDescent="0.25">
      <c r="C43" s="3">
        <v>3000000</v>
      </c>
      <c r="D43" s="3">
        <v>3300000</v>
      </c>
      <c r="E43" s="2" t="s">
        <v>4</v>
      </c>
      <c r="F43" s="5">
        <f>C43/SUM($C$42:$C$44)</f>
        <v>0.33333333333333331</v>
      </c>
    </row>
    <row r="44" spans="3:13" x14ac:dyDescent="0.25">
      <c r="C44" s="3">
        <v>1000000</v>
      </c>
      <c r="D44" s="3">
        <v>1500000</v>
      </c>
      <c r="E44" s="2" t="s">
        <v>5</v>
      </c>
      <c r="F44" s="5">
        <f>C44/SUM($C$42:$C$44)</f>
        <v>0.1111111111111111</v>
      </c>
    </row>
    <row r="51" spans="2:3" x14ac:dyDescent="0.25">
      <c r="B51" t="s">
        <v>14</v>
      </c>
      <c r="C51" t="s">
        <v>15</v>
      </c>
    </row>
    <row r="52" spans="2:3" x14ac:dyDescent="0.25">
      <c r="B52">
        <v>1995</v>
      </c>
      <c r="C52" s="6">
        <v>6396289</v>
      </c>
    </row>
    <row r="53" spans="2:3" x14ac:dyDescent="0.25">
      <c r="B53">
        <f>+B52+1</f>
        <v>1996</v>
      </c>
      <c r="C53" s="6">
        <v>5952934</v>
      </c>
    </row>
    <row r="54" spans="2:3" x14ac:dyDescent="0.25">
      <c r="B54">
        <f t="shared" ref="B54:B64" si="0">+B53+1</f>
        <v>1997</v>
      </c>
      <c r="C54" s="6">
        <v>3838064</v>
      </c>
    </row>
    <row r="55" spans="2:3" x14ac:dyDescent="0.25">
      <c r="B55">
        <f t="shared" si="0"/>
        <v>1998</v>
      </c>
      <c r="C55" s="6">
        <v>5690255</v>
      </c>
    </row>
    <row r="56" spans="2:3" x14ac:dyDescent="0.25">
      <c r="B56">
        <f t="shared" si="0"/>
        <v>1999</v>
      </c>
      <c r="C56" s="6">
        <v>1582583</v>
      </c>
    </row>
    <row r="57" spans="2:3" x14ac:dyDescent="0.25">
      <c r="B57">
        <f t="shared" si="0"/>
        <v>2000</v>
      </c>
      <c r="C57" s="6">
        <v>6039564</v>
      </c>
    </row>
    <row r="58" spans="2:3" x14ac:dyDescent="0.25">
      <c r="B58">
        <f t="shared" si="0"/>
        <v>2001</v>
      </c>
      <c r="C58" s="6">
        <v>11366477</v>
      </c>
    </row>
    <row r="59" spans="2:3" x14ac:dyDescent="0.25">
      <c r="B59">
        <f t="shared" si="0"/>
        <v>2002</v>
      </c>
      <c r="C59" s="6">
        <v>19741778</v>
      </c>
    </row>
    <row r="60" spans="2:3" x14ac:dyDescent="0.25">
      <c r="B60">
        <f t="shared" si="0"/>
        <v>2003</v>
      </c>
      <c r="C60" s="6">
        <v>5973775</v>
      </c>
    </row>
    <row r="61" spans="2:3" x14ac:dyDescent="0.25">
      <c r="B61">
        <f t="shared" si="0"/>
        <v>2004</v>
      </c>
      <c r="C61" s="6">
        <v>6000000</v>
      </c>
    </row>
    <row r="62" spans="2:3" x14ac:dyDescent="0.25">
      <c r="B62">
        <f t="shared" si="0"/>
        <v>2005</v>
      </c>
      <c r="C62" s="6">
        <v>13590346</v>
      </c>
    </row>
    <row r="63" spans="2:3" x14ac:dyDescent="0.25">
      <c r="B63">
        <f t="shared" si="0"/>
        <v>2006</v>
      </c>
      <c r="C63" s="6">
        <v>9315152</v>
      </c>
    </row>
    <row r="64" spans="2:3" x14ac:dyDescent="0.25">
      <c r="B64">
        <f t="shared" si="0"/>
        <v>2007</v>
      </c>
      <c r="C64" s="6">
        <v>15900915</v>
      </c>
    </row>
    <row r="69" spans="2:2" x14ac:dyDescent="0.25">
      <c r="B69" s="7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2018-04-13T19:51:53Z</dcterms:created>
  <dcterms:modified xsi:type="dcterms:W3CDTF">2026-05-12T21:37:48Z</dcterms:modified>
</cp:coreProperties>
</file>
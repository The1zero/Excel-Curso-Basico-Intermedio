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82C161BE-798C-4421-A076-32D4C8F2C1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o 5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'Reto 5'!$B$3:$I$103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J4" i="1"/>
  <c r="N7" i="1"/>
  <c r="N6" i="1"/>
  <c r="R4" i="1"/>
  <c r="J6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</calcChain>
</file>

<file path=xl/sharedStrings.xml><?xml version="1.0" encoding="utf-8"?>
<sst xmlns="http://schemas.openxmlformats.org/spreadsheetml/2006/main" count="620" uniqueCount="147">
  <si>
    <t>Primer punto</t>
  </si>
  <si>
    <t>Nombre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</si>
  <si>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</si>
  <si>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</si>
  <si>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</si>
  <si>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</si>
  <si>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</si>
  <si>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</si>
  <si>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</si>
  <si>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Calificación personal</t>
  </si>
  <si>
    <t>¿Cuál es la calificación de cada uno, teniendo en cuenta que los proyectos tienen un peso porcentual del 80% y la feria del 20%?</t>
  </si>
  <si>
    <t>ALBERT</t>
  </si>
  <si>
    <t>COLOMBIA</t>
  </si>
  <si>
    <t>Educación</t>
  </si>
  <si>
    <t>Conocimiento</t>
  </si>
  <si>
    <t>Académico</t>
  </si>
  <si>
    <t>NO</t>
  </si>
  <si>
    <t>Cuantas personas tiene la tabla (con fórmula)</t>
  </si>
  <si>
    <t>JOAQUIN</t>
  </si>
  <si>
    <t>Tecnología</t>
  </si>
  <si>
    <t>Inversión</t>
  </si>
  <si>
    <t>Socio capitalista</t>
  </si>
  <si>
    <t>SI</t>
  </si>
  <si>
    <t>Cuál es el promedio de ambas calificaciones? (Puntaje Final)</t>
  </si>
  <si>
    <t>CESAR</t>
  </si>
  <si>
    <t>Construcción</t>
  </si>
  <si>
    <t>Trabajo</t>
  </si>
  <si>
    <t>Ofreciendo trabajo</t>
  </si>
  <si>
    <t>HUGO</t>
  </si>
  <si>
    <t>Socio de proyecto</t>
  </si>
  <si>
    <t>VALENTINA</t>
  </si>
  <si>
    <t>GERMAN</t>
  </si>
  <si>
    <t>Segundo punto</t>
  </si>
  <si>
    <t>DAVID</t>
  </si>
  <si>
    <t>Crear un hipervínculo que lo lleve a la celda Q100 de esta hoja.</t>
  </si>
  <si>
    <t>MIGUEL</t>
  </si>
  <si>
    <t>VICENTE</t>
  </si>
  <si>
    <t>Agroindustrial</t>
  </si>
  <si>
    <t>ALVARO</t>
  </si>
  <si>
    <t>Sector Real</t>
  </si>
  <si>
    <t>LUIS</t>
  </si>
  <si>
    <t>VENEZUELA</t>
  </si>
  <si>
    <t>DANIEL</t>
  </si>
  <si>
    <t>JOSEP</t>
  </si>
  <si>
    <t>Buscando trabajo</t>
  </si>
  <si>
    <t>EDUARDO</t>
  </si>
  <si>
    <t>LEONEL</t>
  </si>
  <si>
    <t>JORDI</t>
  </si>
  <si>
    <t>ESTEBAN</t>
  </si>
  <si>
    <t>JONATHAN</t>
  </si>
  <si>
    <t>FELIPE</t>
  </si>
  <si>
    <t>BRASIL</t>
  </si>
  <si>
    <t>JOSE</t>
  </si>
  <si>
    <t>FELIX</t>
  </si>
  <si>
    <t>PABLO</t>
  </si>
  <si>
    <t>MANUEL</t>
  </si>
  <si>
    <t>ARGENTINA</t>
  </si>
  <si>
    <t>LORENZO</t>
  </si>
  <si>
    <t>ISAAC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</si>
  <si>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</si>
  <si>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</si>
  <si>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</si>
  <si>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</si>
  <si>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</si>
  <si>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</si>
  <si>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</si>
  <si>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</si>
  <si>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ARTURO</t>
  </si>
  <si>
    <t>EUGENIO</t>
  </si>
  <si>
    <t>JUAN</t>
  </si>
  <si>
    <t>Otro tipo</t>
  </si>
  <si>
    <t>GONZALO</t>
  </si>
  <si>
    <t>ANTONIO</t>
  </si>
  <si>
    <t>EMILIO</t>
  </si>
  <si>
    <t>AGUSTIN</t>
  </si>
  <si>
    <t>JUAN PABLO</t>
  </si>
  <si>
    <t>FRANCISCO</t>
  </si>
  <si>
    <t>MARC</t>
  </si>
  <si>
    <t>ROBERTO</t>
  </si>
  <si>
    <t>CARLOS</t>
  </si>
  <si>
    <t>JOEL</t>
  </si>
  <si>
    <t>MARIANO</t>
  </si>
  <si>
    <t>OSCAR</t>
  </si>
  <si>
    <t>ALEXANDER</t>
  </si>
  <si>
    <t>BORJA</t>
  </si>
  <si>
    <t>ECUADOR</t>
  </si>
  <si>
    <t>RAUL</t>
  </si>
  <si>
    <t>ALEX</t>
  </si>
  <si>
    <t>URUGUAY</t>
  </si>
  <si>
    <t>IVAN</t>
  </si>
  <si>
    <t>SAMUEL</t>
  </si>
  <si>
    <t>ANDRES</t>
  </si>
  <si>
    <t>NORA</t>
  </si>
  <si>
    <t>CHILE</t>
  </si>
  <si>
    <t>ANDRÉS</t>
  </si>
  <si>
    <t>CRISTIAN</t>
  </si>
  <si>
    <t>JAVIER</t>
  </si>
  <si>
    <t>BOLIVIA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</si>
  <si>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</si>
  <si>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</si>
  <si>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</si>
  <si>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</si>
  <si>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</si>
  <si>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</si>
  <si>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</si>
  <si>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</si>
  <si>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</si>
  <si>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PERU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</si>
  <si>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</si>
  <si>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</si>
  <si>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</si>
  <si>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</si>
  <si>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</si>
  <si>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</si>
  <si>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</si>
  <si>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</si>
  <si>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</si>
  <si>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</si>
  <si>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</si>
  <si>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</si>
  <si>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OTRO PAÍS DEL MUNDO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</si>
  <si>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</si>
  <si>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</si>
  <si>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</si>
  <si>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</si>
  <si>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</si>
  <si>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</si>
  <si>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</si>
  <si>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</si>
  <si>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</si>
  <si>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</si>
  <si>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PEDRO</t>
  </si>
  <si>
    <t>ENRIQUE</t>
  </si>
  <si>
    <t>VICTOR</t>
  </si>
  <si>
    <t>ALFREDO</t>
  </si>
  <si>
    <t>PARAGUAY</t>
  </si>
  <si>
    <t>DARIO</t>
  </si>
  <si>
    <t>DIEGO</t>
  </si>
  <si>
    <t>ISMAEL</t>
  </si>
  <si>
    <t>JAIME</t>
  </si>
  <si>
    <t>SALVADOR</t>
  </si>
  <si>
    <t>ADRIAN</t>
  </si>
  <si>
    <t xml:space="preserve">Promedio feria </t>
  </si>
  <si>
    <t>Promedio Proyectos</t>
  </si>
  <si>
    <t>Promedio Calif.Pers</t>
  </si>
  <si>
    <t>Ir a la celda Q100</t>
  </si>
  <si>
    <t>Confirmacion de que el hipervinculo 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</si>
</sst>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1" applyFill="1" applyBorder="1"/>
    <xf numFmtId="0" fontId="4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left" vertical="center"/>
    </xf>
    <xf numFmtId="0" fontId="1" fillId="0" borderId="1" xfId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9" fontId="0" fillId="0" borderId="0" xfId="0" applyNumberFormat="1"/>
    <xf numFmtId="0" fontId="5" fillId="0" borderId="0" xfId="2"/>
  </cellXfs>
  <cellStyles count="3">
    <cellStyle name="20% - Énfasis2" xfId="1" builtinId="34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B2:S103"/>
  <sheetViews>
    <sheetView tabSelected="1" topLeftCell="F86" workbookViewId="0">
      <selection activeCell="Q100" sqref="Q100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10" width="16.42578125" customWidth="1"/>
    <col min="11" max="11" width="11.7109375" customWidth="1"/>
    <col min="17" max="17" width="30" customWidth="1"/>
  </cols>
  <sheetData>
    <row r="2" spans="2:19" ht="23.25" x14ac:dyDescent="0.35">
      <c r="L2" s="1" t="s">
        <v>0</v>
      </c>
      <c r="R2" s="17">
        <v>0.2</v>
      </c>
      <c r="S2" s="17">
        <v>0.8</v>
      </c>
    </row>
    <row r="3" spans="2:19" ht="42.75" customHeight="1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L3" s="13" t="s">
        <v>10</v>
      </c>
      <c r="M3" s="13"/>
      <c r="N3" s="13"/>
      <c r="O3" s="13"/>
      <c r="P3" s="13"/>
      <c r="Q3" s="13"/>
    </row>
    <row r="4" spans="2:19" ht="15" customHeight="1" x14ac:dyDescent="0.25"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>
        <v>3</v>
      </c>
      <c r="I4" s="4">
        <v>8</v>
      </c>
      <c r="J4" s="4">
        <f>SUMPRODUCT($R$2:$S$2,H4:I4)</f>
        <v>7</v>
      </c>
      <c r="L4" s="14" t="s">
        <v>17</v>
      </c>
      <c r="M4" s="15"/>
      <c r="N4" s="15"/>
      <c r="O4" s="15"/>
      <c r="P4" s="15"/>
      <c r="Q4" s="16"/>
      <c r="R4">
        <f>COUNTA(B4:B103)</f>
        <v>100</v>
      </c>
    </row>
    <row r="5" spans="2:19" x14ac:dyDescent="0.25">
      <c r="B5" s="3" t="s">
        <v>18</v>
      </c>
      <c r="C5" s="4" t="s">
        <v>12</v>
      </c>
      <c r="D5" s="4" t="s">
        <v>19</v>
      </c>
      <c r="E5" s="5" t="s">
        <v>20</v>
      </c>
      <c r="F5" s="4" t="s">
        <v>21</v>
      </c>
      <c r="G5" s="4" t="s">
        <v>22</v>
      </c>
      <c r="H5" s="4">
        <v>8</v>
      </c>
      <c r="I5" s="4">
        <v>7</v>
      </c>
      <c r="J5" s="4">
        <f>SUMPRODUCT($R$2:$S$2,H5:I5)</f>
        <v>7.2000000000000011</v>
      </c>
      <c r="L5" s="4" t="s">
        <v>23</v>
      </c>
      <c r="M5" s="4"/>
      <c r="N5" s="4"/>
      <c r="O5" s="4"/>
      <c r="P5" s="4"/>
      <c r="Q5" s="4"/>
    </row>
    <row r="6" spans="2:19" x14ac:dyDescent="0.25">
      <c r="B6" s="3" t="s">
        <v>24</v>
      </c>
      <c r="C6" s="4" t="s">
        <v>12</v>
      </c>
      <c r="D6" s="4" t="s">
        <v>25</v>
      </c>
      <c r="E6" s="4" t="s">
        <v>26</v>
      </c>
      <c r="F6" s="6" t="s">
        <v>27</v>
      </c>
      <c r="G6" s="4" t="s">
        <v>16</v>
      </c>
      <c r="H6" s="4">
        <v>5</v>
      </c>
      <c r="I6" s="4">
        <v>10</v>
      </c>
      <c r="J6" s="4">
        <f>SUMPRODUCT($R$2:$S$2,H6:I6)</f>
        <v>9</v>
      </c>
      <c r="L6" t="s">
        <v>142</v>
      </c>
      <c r="N6">
        <f>AVERAGE(H4:H103)</f>
        <v>5.81</v>
      </c>
    </row>
    <row r="7" spans="2:19" x14ac:dyDescent="0.25">
      <c r="B7" s="3" t="s">
        <v>28</v>
      </c>
      <c r="C7" s="4" t="s">
        <v>12</v>
      </c>
      <c r="D7" s="4" t="s">
        <v>19</v>
      </c>
      <c r="E7" s="5" t="s">
        <v>20</v>
      </c>
      <c r="F7" s="4" t="s">
        <v>29</v>
      </c>
      <c r="G7" s="4" t="s">
        <v>16</v>
      </c>
      <c r="H7" s="4">
        <v>4</v>
      </c>
      <c r="I7" s="4">
        <v>8</v>
      </c>
      <c r="J7" s="4">
        <f t="shared" ref="J5:J68" si="0">SUMPRODUCT($R$2:$S$2,H7:I7)</f>
        <v>7.2</v>
      </c>
      <c r="L7" t="s">
        <v>143</v>
      </c>
      <c r="N7">
        <f>AVERAGE(I4:I103)</f>
        <v>7.56</v>
      </c>
    </row>
    <row r="8" spans="2:19" x14ac:dyDescent="0.25">
      <c r="B8" s="3" t="s">
        <v>30</v>
      </c>
      <c r="C8" s="4" t="s">
        <v>12</v>
      </c>
      <c r="D8" s="4" t="s">
        <v>25</v>
      </c>
      <c r="E8" s="5" t="s">
        <v>20</v>
      </c>
      <c r="F8" s="4" t="s">
        <v>21</v>
      </c>
      <c r="G8" s="4" t="s">
        <v>16</v>
      </c>
      <c r="H8" s="4">
        <v>4</v>
      </c>
      <c r="I8" s="4">
        <v>9</v>
      </c>
      <c r="J8" s="4">
        <f t="shared" si="0"/>
        <v>8</v>
      </c>
      <c r="L8" t="s">
        <v>144</v>
      </c>
      <c r="N8">
        <f>AVERAGE(J4:J103)</f>
        <v>7.21</v>
      </c>
    </row>
    <row r="9" spans="2:19" ht="23.25" x14ac:dyDescent="0.35">
      <c r="B9" s="3" t="s">
        <v>31</v>
      </c>
      <c r="C9" s="4" t="s">
        <v>12</v>
      </c>
      <c r="D9" s="4" t="s">
        <v>19</v>
      </c>
      <c r="E9" s="5" t="s">
        <v>20</v>
      </c>
      <c r="F9" s="4" t="s">
        <v>29</v>
      </c>
      <c r="G9" s="4" t="s">
        <v>16</v>
      </c>
      <c r="H9" s="4">
        <v>9</v>
      </c>
      <c r="I9" s="4">
        <v>7</v>
      </c>
      <c r="J9" s="4">
        <f t="shared" si="0"/>
        <v>7.4</v>
      </c>
      <c r="L9" s="1" t="s">
        <v>32</v>
      </c>
    </row>
    <row r="10" spans="2:19" x14ac:dyDescent="0.25">
      <c r="B10" s="3" t="s">
        <v>33</v>
      </c>
      <c r="C10" s="4" t="s">
        <v>12</v>
      </c>
      <c r="D10" s="4" t="s">
        <v>19</v>
      </c>
      <c r="E10" s="4" t="s">
        <v>26</v>
      </c>
      <c r="F10" s="6" t="s">
        <v>27</v>
      </c>
      <c r="G10" s="4" t="s">
        <v>16</v>
      </c>
      <c r="H10" s="4">
        <v>5</v>
      </c>
      <c r="I10" s="4">
        <v>9</v>
      </c>
      <c r="J10" s="4">
        <f t="shared" si="0"/>
        <v>8.1999999999999993</v>
      </c>
      <c r="L10" s="7" t="s">
        <v>34</v>
      </c>
      <c r="M10" s="8"/>
      <c r="N10" s="8"/>
      <c r="O10" s="8"/>
      <c r="P10" s="8"/>
      <c r="Q10" s="8"/>
      <c r="R10" s="9"/>
    </row>
    <row r="11" spans="2:19" x14ac:dyDescent="0.25">
      <c r="B11" s="3" t="s">
        <v>35</v>
      </c>
      <c r="C11" s="4" t="s">
        <v>12</v>
      </c>
      <c r="D11" s="4" t="s">
        <v>19</v>
      </c>
      <c r="E11" s="5" t="s">
        <v>20</v>
      </c>
      <c r="F11" s="4" t="s">
        <v>21</v>
      </c>
      <c r="G11" s="4" t="s">
        <v>22</v>
      </c>
      <c r="H11" s="4">
        <v>8</v>
      </c>
      <c r="I11" s="4">
        <v>10</v>
      </c>
      <c r="J11" s="4">
        <f t="shared" si="0"/>
        <v>9.6</v>
      </c>
    </row>
    <row r="12" spans="2:19" ht="28.5" customHeight="1" x14ac:dyDescent="0.25">
      <c r="B12" s="3" t="s">
        <v>36</v>
      </c>
      <c r="C12" s="3" t="s">
        <v>12</v>
      </c>
      <c r="D12" s="3" t="s">
        <v>37</v>
      </c>
      <c r="E12" s="3" t="s">
        <v>26</v>
      </c>
      <c r="F12" s="10" t="s">
        <v>27</v>
      </c>
      <c r="G12" s="3" t="s">
        <v>22</v>
      </c>
      <c r="H12" s="4">
        <v>8</v>
      </c>
      <c r="I12" s="4">
        <v>3</v>
      </c>
      <c r="J12" s="4">
        <f t="shared" si="0"/>
        <v>4</v>
      </c>
      <c r="L12" s="18" t="s">
        <v>145</v>
      </c>
    </row>
    <row r="13" spans="2:19" x14ac:dyDescent="0.25">
      <c r="B13" s="3" t="s">
        <v>38</v>
      </c>
      <c r="C13" s="4" t="s">
        <v>12</v>
      </c>
      <c r="D13" s="4" t="s">
        <v>39</v>
      </c>
      <c r="E13" s="5" t="s">
        <v>20</v>
      </c>
      <c r="F13" s="4" t="s">
        <v>29</v>
      </c>
      <c r="G13" s="4" t="s">
        <v>16</v>
      </c>
      <c r="H13" s="4">
        <v>5</v>
      </c>
      <c r="I13" s="4">
        <v>9</v>
      </c>
      <c r="J13" s="4">
        <f t="shared" si="0"/>
        <v>8.1999999999999993</v>
      </c>
    </row>
    <row r="14" spans="2:19" x14ac:dyDescent="0.25">
      <c r="B14" s="3" t="s">
        <v>40</v>
      </c>
      <c r="C14" s="6" t="s">
        <v>41</v>
      </c>
      <c r="D14" s="4" t="s">
        <v>19</v>
      </c>
      <c r="E14" s="5" t="s">
        <v>20</v>
      </c>
      <c r="F14" s="4" t="s">
        <v>29</v>
      </c>
      <c r="G14" s="4" t="s">
        <v>16</v>
      </c>
      <c r="H14" s="4">
        <v>4</v>
      </c>
      <c r="I14" s="4">
        <v>5</v>
      </c>
      <c r="J14" s="4">
        <f t="shared" si="0"/>
        <v>4.8</v>
      </c>
    </row>
    <row r="15" spans="2:19" x14ac:dyDescent="0.25">
      <c r="B15" s="3" t="s">
        <v>42</v>
      </c>
      <c r="C15" s="4" t="s">
        <v>12</v>
      </c>
      <c r="D15" s="4" t="s">
        <v>19</v>
      </c>
      <c r="E15" s="5" t="s">
        <v>20</v>
      </c>
      <c r="F15" s="4" t="s">
        <v>29</v>
      </c>
      <c r="G15" s="4" t="s">
        <v>16</v>
      </c>
      <c r="H15" s="4">
        <v>3</v>
      </c>
      <c r="I15" s="4">
        <v>8</v>
      </c>
      <c r="J15" s="4">
        <f t="shared" si="0"/>
        <v>7</v>
      </c>
    </row>
    <row r="16" spans="2:19" x14ac:dyDescent="0.25">
      <c r="B16" s="3" t="s">
        <v>43</v>
      </c>
      <c r="C16" s="4" t="s">
        <v>12</v>
      </c>
      <c r="D16" s="4" t="s">
        <v>25</v>
      </c>
      <c r="E16" s="4" t="s">
        <v>26</v>
      </c>
      <c r="F16" s="6" t="s">
        <v>44</v>
      </c>
      <c r="G16" s="4" t="s">
        <v>16</v>
      </c>
      <c r="H16" s="4">
        <v>7</v>
      </c>
      <c r="I16" s="4">
        <v>9</v>
      </c>
      <c r="J16" s="4">
        <f t="shared" si="0"/>
        <v>8.6</v>
      </c>
    </row>
    <row r="17" spans="2:10" x14ac:dyDescent="0.25">
      <c r="B17" s="3" t="s">
        <v>45</v>
      </c>
      <c r="C17" s="4" t="s">
        <v>12</v>
      </c>
      <c r="D17" s="4" t="s">
        <v>19</v>
      </c>
      <c r="E17" s="4" t="s">
        <v>26</v>
      </c>
      <c r="F17" s="6" t="s">
        <v>44</v>
      </c>
      <c r="G17" s="4" t="s">
        <v>22</v>
      </c>
      <c r="H17" s="4">
        <v>4</v>
      </c>
      <c r="I17" s="4">
        <v>8</v>
      </c>
      <c r="J17" s="4">
        <f t="shared" si="0"/>
        <v>7.2</v>
      </c>
    </row>
    <row r="18" spans="2:10" x14ac:dyDescent="0.25">
      <c r="B18" s="3" t="s">
        <v>46</v>
      </c>
      <c r="C18" s="4" t="s">
        <v>12</v>
      </c>
      <c r="D18" s="4" t="s">
        <v>39</v>
      </c>
      <c r="E18" s="5" t="s">
        <v>20</v>
      </c>
      <c r="F18" s="4" t="s">
        <v>21</v>
      </c>
      <c r="G18" s="4" t="s">
        <v>16</v>
      </c>
      <c r="H18" s="4">
        <v>9</v>
      </c>
      <c r="I18" s="4">
        <v>10</v>
      </c>
      <c r="J18" s="4">
        <f t="shared" si="0"/>
        <v>9.8000000000000007</v>
      </c>
    </row>
    <row r="19" spans="2:10" x14ac:dyDescent="0.25">
      <c r="B19" s="3" t="s">
        <v>47</v>
      </c>
      <c r="C19" s="4" t="s">
        <v>12</v>
      </c>
      <c r="D19" s="4" t="s">
        <v>13</v>
      </c>
      <c r="E19" s="4" t="s">
        <v>14</v>
      </c>
      <c r="F19" s="4" t="s">
        <v>15</v>
      </c>
      <c r="G19" s="4" t="s">
        <v>16</v>
      </c>
      <c r="H19" s="4">
        <v>4</v>
      </c>
      <c r="I19" s="4">
        <v>6</v>
      </c>
      <c r="J19" s="4">
        <f t="shared" si="0"/>
        <v>5.6000000000000005</v>
      </c>
    </row>
    <row r="20" spans="2:10" ht="15" customHeight="1" x14ac:dyDescent="0.25">
      <c r="B20" s="3" t="s">
        <v>48</v>
      </c>
      <c r="C20" s="4" t="s">
        <v>12</v>
      </c>
      <c r="D20" s="4" t="s">
        <v>19</v>
      </c>
      <c r="E20" s="4" t="s">
        <v>20</v>
      </c>
      <c r="F20" s="4" t="s">
        <v>21</v>
      </c>
      <c r="G20" s="4" t="s">
        <v>16</v>
      </c>
      <c r="H20" s="4">
        <v>5</v>
      </c>
      <c r="I20" s="4">
        <v>7</v>
      </c>
      <c r="J20" s="4">
        <f t="shared" si="0"/>
        <v>6.6000000000000005</v>
      </c>
    </row>
    <row r="21" spans="2:10" x14ac:dyDescent="0.25">
      <c r="B21" s="3" t="s">
        <v>49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16</v>
      </c>
      <c r="H21" s="4">
        <v>6</v>
      </c>
      <c r="I21" s="4">
        <v>7</v>
      </c>
      <c r="J21" s="4">
        <f t="shared" si="0"/>
        <v>6.8000000000000007</v>
      </c>
    </row>
    <row r="22" spans="2:10" ht="15" customHeight="1" x14ac:dyDescent="0.25">
      <c r="B22" s="3" t="s">
        <v>50</v>
      </c>
      <c r="C22" s="4" t="s">
        <v>51</v>
      </c>
      <c r="D22" s="4" t="s">
        <v>39</v>
      </c>
      <c r="E22" s="4" t="s">
        <v>26</v>
      </c>
      <c r="F22" s="6" t="s">
        <v>44</v>
      </c>
      <c r="G22" s="4" t="s">
        <v>22</v>
      </c>
      <c r="H22" s="4">
        <v>9</v>
      </c>
      <c r="I22" s="4">
        <v>8</v>
      </c>
      <c r="J22" s="4">
        <f t="shared" si="0"/>
        <v>8.2000000000000011</v>
      </c>
    </row>
    <row r="23" spans="2:10" x14ac:dyDescent="0.25">
      <c r="B23" s="3" t="s">
        <v>52</v>
      </c>
      <c r="C23" s="4" t="s">
        <v>12</v>
      </c>
      <c r="D23" s="4" t="s">
        <v>19</v>
      </c>
      <c r="E23" s="5" t="s">
        <v>20</v>
      </c>
      <c r="F23" s="4" t="s">
        <v>29</v>
      </c>
      <c r="G23" s="4" t="s">
        <v>16</v>
      </c>
      <c r="H23" s="4">
        <v>5</v>
      </c>
      <c r="I23" s="4">
        <v>6</v>
      </c>
      <c r="J23" s="4">
        <f t="shared" si="0"/>
        <v>5.8000000000000007</v>
      </c>
    </row>
    <row r="24" spans="2:10" x14ac:dyDescent="0.25">
      <c r="B24" s="3" t="s">
        <v>53</v>
      </c>
      <c r="C24" s="4" t="s">
        <v>12</v>
      </c>
      <c r="D24" s="4" t="s">
        <v>19</v>
      </c>
      <c r="E24" s="5" t="s">
        <v>20</v>
      </c>
      <c r="F24" s="4" t="s">
        <v>29</v>
      </c>
      <c r="G24" s="4" t="s">
        <v>16</v>
      </c>
      <c r="H24" s="4">
        <v>6</v>
      </c>
      <c r="I24" s="4">
        <v>7</v>
      </c>
      <c r="J24" s="4">
        <f t="shared" si="0"/>
        <v>6.8000000000000007</v>
      </c>
    </row>
    <row r="25" spans="2:10" x14ac:dyDescent="0.25">
      <c r="B25" s="3" t="s">
        <v>54</v>
      </c>
      <c r="C25" s="4" t="s">
        <v>12</v>
      </c>
      <c r="D25" s="4" t="s">
        <v>37</v>
      </c>
      <c r="E25" s="4" t="s">
        <v>20</v>
      </c>
      <c r="F25" s="6" t="s">
        <v>21</v>
      </c>
      <c r="G25" s="4" t="s">
        <v>22</v>
      </c>
      <c r="H25" s="4">
        <v>6</v>
      </c>
      <c r="I25" s="4">
        <v>10</v>
      </c>
      <c r="J25" s="4">
        <f t="shared" si="0"/>
        <v>9.1999999999999993</v>
      </c>
    </row>
    <row r="26" spans="2:10" x14ac:dyDescent="0.25">
      <c r="B26" s="3" t="s">
        <v>55</v>
      </c>
      <c r="C26" s="6" t="s">
        <v>56</v>
      </c>
      <c r="D26" s="4" t="s">
        <v>39</v>
      </c>
      <c r="E26" s="4" t="s">
        <v>26</v>
      </c>
      <c r="F26" s="6" t="s">
        <v>27</v>
      </c>
      <c r="G26" s="4" t="s">
        <v>16</v>
      </c>
      <c r="H26" s="4">
        <v>8</v>
      </c>
      <c r="I26" s="4">
        <v>5</v>
      </c>
      <c r="J26" s="4">
        <f t="shared" si="0"/>
        <v>5.6</v>
      </c>
    </row>
    <row r="27" spans="2:10" ht="15" customHeight="1" x14ac:dyDescent="0.25">
      <c r="B27" s="3" t="s">
        <v>57</v>
      </c>
      <c r="C27" s="4" t="s">
        <v>12</v>
      </c>
      <c r="D27" s="4" t="s">
        <v>37</v>
      </c>
      <c r="E27" s="5" t="s">
        <v>20</v>
      </c>
      <c r="F27" s="4" t="s">
        <v>21</v>
      </c>
      <c r="G27" s="4" t="s">
        <v>16</v>
      </c>
      <c r="H27" s="4">
        <v>7</v>
      </c>
      <c r="I27" s="4">
        <v>10</v>
      </c>
      <c r="J27" s="4">
        <f t="shared" si="0"/>
        <v>9.4</v>
      </c>
    </row>
    <row r="28" spans="2:10" x14ac:dyDescent="0.25">
      <c r="B28" s="3" t="s">
        <v>58</v>
      </c>
      <c r="C28" s="4" t="s">
        <v>12</v>
      </c>
      <c r="D28" s="4" t="s">
        <v>19</v>
      </c>
      <c r="E28" s="5" t="s">
        <v>20</v>
      </c>
      <c r="F28" s="4" t="s">
        <v>21</v>
      </c>
      <c r="G28" s="4" t="s">
        <v>16</v>
      </c>
      <c r="H28" s="4">
        <v>9</v>
      </c>
      <c r="I28" s="4">
        <v>10</v>
      </c>
      <c r="J28" s="4">
        <f t="shared" si="0"/>
        <v>9.8000000000000007</v>
      </c>
    </row>
    <row r="29" spans="2:10" x14ac:dyDescent="0.25">
      <c r="B29" s="3" t="s">
        <v>59</v>
      </c>
      <c r="C29" s="4" t="s">
        <v>12</v>
      </c>
      <c r="D29" s="4" t="s">
        <v>39</v>
      </c>
      <c r="E29" s="5" t="s">
        <v>20</v>
      </c>
      <c r="F29" s="4" t="s">
        <v>21</v>
      </c>
      <c r="G29" s="4" t="s">
        <v>16</v>
      </c>
      <c r="H29" s="4">
        <v>3</v>
      </c>
      <c r="I29" s="4">
        <v>9</v>
      </c>
      <c r="J29" s="4">
        <f t="shared" si="0"/>
        <v>7.8000000000000007</v>
      </c>
    </row>
    <row r="30" spans="2:10" x14ac:dyDescent="0.25">
      <c r="B30" s="3" t="s">
        <v>60</v>
      </c>
      <c r="C30" s="4" t="s">
        <v>12</v>
      </c>
      <c r="D30" s="4" t="s">
        <v>19</v>
      </c>
      <c r="E30" s="4" t="s">
        <v>26</v>
      </c>
      <c r="F30" s="6" t="s">
        <v>27</v>
      </c>
      <c r="G30" s="4" t="s">
        <v>16</v>
      </c>
      <c r="H30" s="4">
        <v>6</v>
      </c>
      <c r="I30" s="4">
        <v>2</v>
      </c>
      <c r="J30" s="4">
        <f t="shared" si="0"/>
        <v>2.8000000000000003</v>
      </c>
    </row>
    <row r="31" spans="2:10" x14ac:dyDescent="0.25">
      <c r="B31" s="3" t="s">
        <v>61</v>
      </c>
      <c r="C31" s="4" t="s">
        <v>12</v>
      </c>
      <c r="D31" s="4" t="s">
        <v>39</v>
      </c>
      <c r="E31" s="4" t="s">
        <v>26</v>
      </c>
      <c r="F31" s="6" t="s">
        <v>27</v>
      </c>
      <c r="G31" s="4" t="s">
        <v>16</v>
      </c>
      <c r="H31" s="4">
        <v>9</v>
      </c>
      <c r="I31" s="4">
        <v>9</v>
      </c>
      <c r="J31" s="4">
        <f t="shared" si="0"/>
        <v>9</v>
      </c>
    </row>
    <row r="32" spans="2:10" x14ac:dyDescent="0.25">
      <c r="B32" s="3" t="s">
        <v>62</v>
      </c>
      <c r="C32" s="4" t="s">
        <v>12</v>
      </c>
      <c r="D32" s="4" t="s">
        <v>19</v>
      </c>
      <c r="E32" s="5" t="s">
        <v>20</v>
      </c>
      <c r="F32" s="4" t="s">
        <v>29</v>
      </c>
      <c r="G32" s="4" t="s">
        <v>16</v>
      </c>
      <c r="H32" s="4">
        <v>8</v>
      </c>
      <c r="I32" s="4">
        <v>7</v>
      </c>
      <c r="J32" s="4">
        <f t="shared" si="0"/>
        <v>7.2000000000000011</v>
      </c>
    </row>
    <row r="33" spans="2:10" ht="49.5" customHeight="1" x14ac:dyDescent="0.25">
      <c r="B33" s="3" t="s">
        <v>63</v>
      </c>
      <c r="C33" s="3" t="s">
        <v>12</v>
      </c>
      <c r="D33" s="3" t="s">
        <v>39</v>
      </c>
      <c r="E33" s="11" t="s">
        <v>20</v>
      </c>
      <c r="F33" s="3" t="s">
        <v>21</v>
      </c>
      <c r="G33" s="3" t="s">
        <v>22</v>
      </c>
      <c r="H33" s="4">
        <v>8</v>
      </c>
      <c r="I33" s="3">
        <v>8</v>
      </c>
      <c r="J33" s="4">
        <f t="shared" si="0"/>
        <v>8</v>
      </c>
    </row>
    <row r="34" spans="2:10" x14ac:dyDescent="0.25">
      <c r="B34" s="3" t="s">
        <v>64</v>
      </c>
      <c r="C34" s="4" t="s">
        <v>12</v>
      </c>
      <c r="D34" s="4" t="s">
        <v>37</v>
      </c>
      <c r="E34" s="4" t="s">
        <v>26</v>
      </c>
      <c r="F34" s="6" t="s">
        <v>27</v>
      </c>
      <c r="G34" s="4" t="s">
        <v>16</v>
      </c>
      <c r="H34" s="4">
        <v>6</v>
      </c>
      <c r="I34" s="4">
        <v>8</v>
      </c>
      <c r="J34" s="4">
        <f t="shared" si="0"/>
        <v>7.6000000000000005</v>
      </c>
    </row>
    <row r="35" spans="2:10" x14ac:dyDescent="0.25">
      <c r="B35" s="3" t="s">
        <v>65</v>
      </c>
      <c r="C35" s="4" t="s">
        <v>51</v>
      </c>
      <c r="D35" s="4" t="s">
        <v>39</v>
      </c>
      <c r="E35" s="4" t="s">
        <v>26</v>
      </c>
      <c r="F35" s="6" t="s">
        <v>44</v>
      </c>
      <c r="G35" s="4" t="s">
        <v>22</v>
      </c>
      <c r="H35" s="4">
        <v>3</v>
      </c>
      <c r="I35" s="4">
        <v>5</v>
      </c>
      <c r="J35" s="4">
        <f t="shared" si="0"/>
        <v>4.5999999999999996</v>
      </c>
    </row>
    <row r="36" spans="2:10" x14ac:dyDescent="0.25">
      <c r="B36" s="3" t="s">
        <v>66</v>
      </c>
      <c r="C36" s="4" t="s">
        <v>12</v>
      </c>
      <c r="D36" s="4" t="s">
        <v>19</v>
      </c>
      <c r="E36" s="5" t="s">
        <v>20</v>
      </c>
      <c r="F36" s="4" t="s">
        <v>21</v>
      </c>
      <c r="G36" s="4" t="s">
        <v>16</v>
      </c>
      <c r="H36" s="4">
        <v>6</v>
      </c>
      <c r="I36" s="4">
        <v>7</v>
      </c>
      <c r="J36" s="4">
        <f t="shared" si="0"/>
        <v>6.8000000000000007</v>
      </c>
    </row>
    <row r="37" spans="2:10" x14ac:dyDescent="0.25">
      <c r="B37" s="3" t="s">
        <v>67</v>
      </c>
      <c r="C37" s="4" t="s">
        <v>12</v>
      </c>
      <c r="D37" s="4" t="s">
        <v>39</v>
      </c>
      <c r="E37" s="5" t="s">
        <v>20</v>
      </c>
      <c r="F37" s="4" t="s">
        <v>29</v>
      </c>
      <c r="G37" s="4" t="s">
        <v>16</v>
      </c>
      <c r="H37" s="4">
        <v>6</v>
      </c>
      <c r="I37" s="4">
        <v>10</v>
      </c>
      <c r="J37" s="4">
        <f t="shared" si="0"/>
        <v>9.1999999999999993</v>
      </c>
    </row>
    <row r="38" spans="2:10" x14ac:dyDescent="0.25">
      <c r="B38" s="3" t="s">
        <v>68</v>
      </c>
      <c r="C38" s="4" t="s">
        <v>12</v>
      </c>
      <c r="D38" s="4" t="s">
        <v>25</v>
      </c>
      <c r="E38" s="5" t="s">
        <v>20</v>
      </c>
      <c r="F38" s="4" t="s">
        <v>29</v>
      </c>
      <c r="G38" s="4" t="s">
        <v>16</v>
      </c>
      <c r="H38" s="4">
        <v>8</v>
      </c>
      <c r="I38" s="4">
        <v>5</v>
      </c>
      <c r="J38" s="4">
        <f t="shared" si="0"/>
        <v>5.6</v>
      </c>
    </row>
    <row r="39" spans="2:10" x14ac:dyDescent="0.25">
      <c r="B39" s="3" t="s">
        <v>69</v>
      </c>
      <c r="C39" s="4" t="s">
        <v>12</v>
      </c>
      <c r="D39" s="4" t="s">
        <v>19</v>
      </c>
      <c r="E39" s="4" t="s">
        <v>14</v>
      </c>
      <c r="F39" s="4" t="s">
        <v>70</v>
      </c>
      <c r="G39" s="4" t="s">
        <v>16</v>
      </c>
      <c r="H39" s="4">
        <v>5</v>
      </c>
      <c r="I39" s="4">
        <v>7</v>
      </c>
      <c r="J39" s="4">
        <f t="shared" si="0"/>
        <v>6.6000000000000005</v>
      </c>
    </row>
    <row r="40" spans="2:10" x14ac:dyDescent="0.25">
      <c r="B40" s="3" t="s">
        <v>71</v>
      </c>
      <c r="C40" s="4" t="s">
        <v>12</v>
      </c>
      <c r="D40" s="4" t="s">
        <v>19</v>
      </c>
      <c r="E40" s="5" t="s">
        <v>20</v>
      </c>
      <c r="F40" s="4" t="s">
        <v>21</v>
      </c>
      <c r="G40" s="4" t="s">
        <v>16</v>
      </c>
      <c r="H40" s="4">
        <v>9</v>
      </c>
      <c r="I40" s="4">
        <v>7</v>
      </c>
      <c r="J40" s="4">
        <f t="shared" si="0"/>
        <v>7.4</v>
      </c>
    </row>
    <row r="41" spans="2:10" x14ac:dyDescent="0.25">
      <c r="B41" s="3" t="s">
        <v>72</v>
      </c>
      <c r="C41" s="4" t="s">
        <v>12</v>
      </c>
      <c r="D41" s="4" t="s">
        <v>25</v>
      </c>
      <c r="E41" s="5" t="s">
        <v>20</v>
      </c>
      <c r="F41" s="4" t="s">
        <v>29</v>
      </c>
      <c r="G41" s="4" t="s">
        <v>16</v>
      </c>
      <c r="H41" s="4">
        <v>4</v>
      </c>
      <c r="I41" s="4">
        <v>7</v>
      </c>
      <c r="J41" s="4">
        <f t="shared" si="0"/>
        <v>6.4</v>
      </c>
    </row>
    <row r="42" spans="2:10" x14ac:dyDescent="0.25">
      <c r="B42" s="3" t="s">
        <v>73</v>
      </c>
      <c r="C42" s="4" t="s">
        <v>12</v>
      </c>
      <c r="D42" s="4" t="s">
        <v>39</v>
      </c>
      <c r="E42" s="4" t="s">
        <v>26</v>
      </c>
      <c r="F42" s="6" t="s">
        <v>44</v>
      </c>
      <c r="G42" s="4" t="s">
        <v>16</v>
      </c>
      <c r="H42" s="4">
        <v>4</v>
      </c>
      <c r="I42" s="4">
        <v>9</v>
      </c>
      <c r="J42" s="4">
        <f t="shared" si="0"/>
        <v>8</v>
      </c>
    </row>
    <row r="43" spans="2:10" ht="46.5" customHeight="1" x14ac:dyDescent="0.25">
      <c r="B43" s="3" t="s">
        <v>74</v>
      </c>
      <c r="C43" s="4" t="s">
        <v>12</v>
      </c>
      <c r="D43" s="4" t="s">
        <v>19</v>
      </c>
      <c r="E43" s="5" t="s">
        <v>20</v>
      </c>
      <c r="F43" s="4" t="s">
        <v>29</v>
      </c>
      <c r="G43" s="4" t="s">
        <v>16</v>
      </c>
      <c r="H43" s="4">
        <v>9</v>
      </c>
      <c r="I43" s="4">
        <v>5</v>
      </c>
      <c r="J43" s="4">
        <f t="shared" si="0"/>
        <v>5.8</v>
      </c>
    </row>
    <row r="44" spans="2:10" x14ac:dyDescent="0.25">
      <c r="B44" s="3" t="s">
        <v>75</v>
      </c>
      <c r="C44" s="4" t="s">
        <v>12</v>
      </c>
      <c r="D44" s="4" t="s">
        <v>19</v>
      </c>
      <c r="E44" s="5" t="s">
        <v>20</v>
      </c>
      <c r="F44" s="4" t="s">
        <v>29</v>
      </c>
      <c r="G44" s="4" t="s">
        <v>22</v>
      </c>
      <c r="H44" s="4">
        <v>6</v>
      </c>
      <c r="I44" s="4">
        <v>10</v>
      </c>
      <c r="J44" s="4">
        <f t="shared" si="0"/>
        <v>9.1999999999999993</v>
      </c>
    </row>
    <row r="45" spans="2:10" x14ac:dyDescent="0.25">
      <c r="B45" s="3" t="s">
        <v>76</v>
      </c>
      <c r="C45" s="4" t="s">
        <v>12</v>
      </c>
      <c r="D45" s="4" t="s">
        <v>19</v>
      </c>
      <c r="E45" s="5" t="s">
        <v>20</v>
      </c>
      <c r="F45" s="4" t="s">
        <v>29</v>
      </c>
      <c r="G45" s="4" t="s">
        <v>22</v>
      </c>
      <c r="H45" s="4">
        <v>8</v>
      </c>
      <c r="I45" s="4">
        <v>8</v>
      </c>
      <c r="J45" s="4">
        <f t="shared" si="0"/>
        <v>8</v>
      </c>
    </row>
    <row r="46" spans="2:10" x14ac:dyDescent="0.25">
      <c r="B46" s="3" t="s">
        <v>77</v>
      </c>
      <c r="C46" s="4" t="s">
        <v>12</v>
      </c>
      <c r="D46" s="4" t="s">
        <v>39</v>
      </c>
      <c r="E46" s="5" t="s">
        <v>20</v>
      </c>
      <c r="F46" s="4" t="s">
        <v>29</v>
      </c>
      <c r="G46" s="4" t="s">
        <v>22</v>
      </c>
      <c r="H46" s="4">
        <v>6</v>
      </c>
      <c r="I46" s="4">
        <v>10</v>
      </c>
      <c r="J46" s="4">
        <f t="shared" si="0"/>
        <v>9.1999999999999993</v>
      </c>
    </row>
    <row r="47" spans="2:10" x14ac:dyDescent="0.25">
      <c r="B47" s="3" t="s">
        <v>78</v>
      </c>
      <c r="C47" s="4" t="s">
        <v>12</v>
      </c>
      <c r="D47" s="4" t="s">
        <v>19</v>
      </c>
      <c r="E47" s="5" t="s">
        <v>20</v>
      </c>
      <c r="F47" s="4" t="s">
        <v>29</v>
      </c>
      <c r="G47" s="4" t="s">
        <v>22</v>
      </c>
      <c r="H47" s="4">
        <v>7</v>
      </c>
      <c r="I47" s="4">
        <v>5</v>
      </c>
      <c r="J47" s="4">
        <f t="shared" si="0"/>
        <v>5.4</v>
      </c>
    </row>
    <row r="48" spans="2:10" x14ac:dyDescent="0.25">
      <c r="B48" s="3" t="s">
        <v>79</v>
      </c>
      <c r="C48" s="4" t="s">
        <v>12</v>
      </c>
      <c r="D48" s="4" t="s">
        <v>19</v>
      </c>
      <c r="E48" s="5" t="s">
        <v>20</v>
      </c>
      <c r="F48" s="4" t="s">
        <v>29</v>
      </c>
      <c r="G48" s="4" t="s">
        <v>16</v>
      </c>
      <c r="H48" s="4">
        <v>5</v>
      </c>
      <c r="I48" s="4">
        <v>7</v>
      </c>
      <c r="J48" s="4">
        <f t="shared" si="0"/>
        <v>6.6000000000000005</v>
      </c>
    </row>
    <row r="49" spans="2:10" x14ac:dyDescent="0.25">
      <c r="B49" s="3" t="s">
        <v>80</v>
      </c>
      <c r="C49" s="4" t="s">
        <v>12</v>
      </c>
      <c r="D49" s="4" t="s">
        <v>39</v>
      </c>
      <c r="E49" s="5" t="s">
        <v>20</v>
      </c>
      <c r="F49" s="4" t="s">
        <v>29</v>
      </c>
      <c r="G49" s="4" t="s">
        <v>16</v>
      </c>
      <c r="H49" s="4">
        <v>3</v>
      </c>
      <c r="I49" s="4">
        <v>8</v>
      </c>
      <c r="J49" s="4">
        <f t="shared" si="0"/>
        <v>7</v>
      </c>
    </row>
    <row r="50" spans="2:10" x14ac:dyDescent="0.25">
      <c r="B50" s="3" t="s">
        <v>81</v>
      </c>
      <c r="C50" s="4" t="s">
        <v>12</v>
      </c>
      <c r="D50" s="4" t="s">
        <v>39</v>
      </c>
      <c r="E50" s="4" t="s">
        <v>26</v>
      </c>
      <c r="F50" s="6" t="s">
        <v>27</v>
      </c>
      <c r="G50" s="4" t="s">
        <v>16</v>
      </c>
      <c r="H50" s="4">
        <v>7</v>
      </c>
      <c r="I50" s="4">
        <v>9</v>
      </c>
      <c r="J50" s="4">
        <f t="shared" si="0"/>
        <v>8.6</v>
      </c>
    </row>
    <row r="51" spans="2:10" x14ac:dyDescent="0.25">
      <c r="B51" s="3" t="s">
        <v>82</v>
      </c>
      <c r="C51" s="4" t="s">
        <v>51</v>
      </c>
      <c r="D51" s="4" t="s">
        <v>19</v>
      </c>
      <c r="E51" s="5" t="s">
        <v>20</v>
      </c>
      <c r="F51" s="4" t="s">
        <v>29</v>
      </c>
      <c r="G51" s="4" t="s">
        <v>22</v>
      </c>
      <c r="H51" s="4">
        <v>5</v>
      </c>
      <c r="I51" s="4">
        <v>6</v>
      </c>
      <c r="J51" s="4">
        <f t="shared" si="0"/>
        <v>5.8000000000000007</v>
      </c>
    </row>
    <row r="52" spans="2:10" x14ac:dyDescent="0.25">
      <c r="B52" s="3" t="s">
        <v>83</v>
      </c>
      <c r="C52" s="4" t="s">
        <v>12</v>
      </c>
      <c r="D52" s="4" t="s">
        <v>25</v>
      </c>
      <c r="E52" s="5" t="s">
        <v>20</v>
      </c>
      <c r="F52" s="4" t="s">
        <v>21</v>
      </c>
      <c r="G52" s="4" t="s">
        <v>22</v>
      </c>
      <c r="H52" s="4">
        <v>9</v>
      </c>
      <c r="I52" s="4">
        <v>9</v>
      </c>
      <c r="J52" s="4">
        <f t="shared" si="0"/>
        <v>9</v>
      </c>
    </row>
    <row r="53" spans="2:10" x14ac:dyDescent="0.25">
      <c r="B53" s="3" t="s">
        <v>84</v>
      </c>
      <c r="C53" s="6" t="s">
        <v>85</v>
      </c>
      <c r="D53" s="4" t="s">
        <v>19</v>
      </c>
      <c r="E53" s="5" t="s">
        <v>20</v>
      </c>
      <c r="F53" s="4" t="s">
        <v>21</v>
      </c>
      <c r="G53" s="4" t="s">
        <v>16</v>
      </c>
      <c r="H53" s="4">
        <v>6</v>
      </c>
      <c r="I53" s="4">
        <v>8</v>
      </c>
      <c r="J53" s="4">
        <f t="shared" si="0"/>
        <v>7.6000000000000005</v>
      </c>
    </row>
    <row r="54" spans="2:10" x14ac:dyDescent="0.25">
      <c r="B54" s="3" t="s">
        <v>86</v>
      </c>
      <c r="C54" s="4" t="s">
        <v>51</v>
      </c>
      <c r="D54" s="4" t="s">
        <v>19</v>
      </c>
      <c r="E54" s="4" t="s">
        <v>26</v>
      </c>
      <c r="F54" s="6" t="s">
        <v>27</v>
      </c>
      <c r="G54" s="4" t="s">
        <v>22</v>
      </c>
      <c r="H54" s="4">
        <v>7</v>
      </c>
      <c r="I54" s="4">
        <v>5</v>
      </c>
      <c r="J54" s="4">
        <f t="shared" si="0"/>
        <v>5.4</v>
      </c>
    </row>
    <row r="55" spans="2:10" x14ac:dyDescent="0.25">
      <c r="B55" s="3" t="s">
        <v>87</v>
      </c>
      <c r="C55" s="4" t="s">
        <v>88</v>
      </c>
      <c r="D55" s="4" t="s">
        <v>19</v>
      </c>
      <c r="E55" s="5" t="s">
        <v>20</v>
      </c>
      <c r="F55" s="4" t="s">
        <v>21</v>
      </c>
      <c r="G55" s="4" t="s">
        <v>16</v>
      </c>
      <c r="H55" s="4">
        <v>5</v>
      </c>
      <c r="I55" s="4">
        <v>6</v>
      </c>
      <c r="J55" s="4">
        <f t="shared" si="0"/>
        <v>5.8000000000000007</v>
      </c>
    </row>
    <row r="56" spans="2:10" x14ac:dyDescent="0.25">
      <c r="B56" s="3" t="s">
        <v>89</v>
      </c>
      <c r="C56" s="4" t="s">
        <v>12</v>
      </c>
      <c r="D56" s="4" t="s">
        <v>19</v>
      </c>
      <c r="E56" s="5" t="s">
        <v>20</v>
      </c>
      <c r="F56" s="4" t="s">
        <v>29</v>
      </c>
      <c r="G56" s="4" t="s">
        <v>16</v>
      </c>
      <c r="H56" s="4">
        <v>4</v>
      </c>
      <c r="I56" s="4">
        <v>6</v>
      </c>
      <c r="J56" s="4">
        <f t="shared" si="0"/>
        <v>5.6000000000000005</v>
      </c>
    </row>
    <row r="57" spans="2:10" x14ac:dyDescent="0.25">
      <c r="B57" s="3" t="s">
        <v>90</v>
      </c>
      <c r="C57" s="4" t="s">
        <v>12</v>
      </c>
      <c r="D57" s="4" t="s">
        <v>39</v>
      </c>
      <c r="E57" s="5" t="s">
        <v>20</v>
      </c>
      <c r="F57" s="4" t="s">
        <v>29</v>
      </c>
      <c r="G57" s="4" t="s">
        <v>16</v>
      </c>
      <c r="H57" s="4">
        <v>7</v>
      </c>
      <c r="I57" s="4">
        <v>5</v>
      </c>
      <c r="J57" s="4">
        <f t="shared" si="0"/>
        <v>5.4</v>
      </c>
    </row>
    <row r="58" spans="2:10" x14ac:dyDescent="0.25">
      <c r="B58" s="3" t="s">
        <v>91</v>
      </c>
      <c r="C58" s="4" t="s">
        <v>12</v>
      </c>
      <c r="D58" s="4" t="s">
        <v>19</v>
      </c>
      <c r="E58" s="4" t="s">
        <v>26</v>
      </c>
      <c r="F58" s="6" t="s">
        <v>44</v>
      </c>
      <c r="G58" s="4" t="s">
        <v>22</v>
      </c>
      <c r="H58" s="4">
        <v>3</v>
      </c>
      <c r="I58" s="4">
        <v>9</v>
      </c>
      <c r="J58" s="4">
        <f t="shared" si="0"/>
        <v>7.8000000000000007</v>
      </c>
    </row>
    <row r="59" spans="2:10" x14ac:dyDescent="0.25">
      <c r="B59" s="3" t="s">
        <v>92</v>
      </c>
      <c r="C59" s="6" t="s">
        <v>93</v>
      </c>
      <c r="D59" s="4" t="s">
        <v>39</v>
      </c>
      <c r="E59" s="5" t="s">
        <v>20</v>
      </c>
      <c r="F59" s="4" t="s">
        <v>29</v>
      </c>
      <c r="G59" s="4" t="s">
        <v>16</v>
      </c>
      <c r="H59" s="4">
        <v>3</v>
      </c>
      <c r="I59" s="4">
        <v>6</v>
      </c>
      <c r="J59" s="4">
        <f t="shared" si="0"/>
        <v>5.4</v>
      </c>
    </row>
    <row r="60" spans="2:10" x14ac:dyDescent="0.25">
      <c r="B60" s="3" t="s">
        <v>94</v>
      </c>
      <c r="C60" s="4" t="s">
        <v>12</v>
      </c>
      <c r="D60" s="4" t="s">
        <v>19</v>
      </c>
      <c r="E60" s="5" t="s">
        <v>20</v>
      </c>
      <c r="F60" s="4" t="s">
        <v>21</v>
      </c>
      <c r="G60" s="4" t="s">
        <v>16</v>
      </c>
      <c r="H60" s="4">
        <v>7</v>
      </c>
      <c r="I60" s="4">
        <v>10</v>
      </c>
      <c r="J60" s="4">
        <f t="shared" si="0"/>
        <v>9.4</v>
      </c>
    </row>
    <row r="61" spans="2:10" x14ac:dyDescent="0.25">
      <c r="B61" s="3" t="s">
        <v>95</v>
      </c>
      <c r="C61" s="4" t="s">
        <v>12</v>
      </c>
      <c r="D61" s="4" t="s">
        <v>19</v>
      </c>
      <c r="E61" s="4" t="s">
        <v>26</v>
      </c>
      <c r="F61" s="6" t="s">
        <v>44</v>
      </c>
      <c r="G61" s="4" t="s">
        <v>16</v>
      </c>
      <c r="H61" s="4">
        <v>5</v>
      </c>
      <c r="I61" s="4">
        <v>9</v>
      </c>
      <c r="J61" s="4">
        <f t="shared" si="0"/>
        <v>8.1999999999999993</v>
      </c>
    </row>
    <row r="62" spans="2:10" x14ac:dyDescent="0.25">
      <c r="B62" s="3" t="s">
        <v>96</v>
      </c>
      <c r="C62" s="6" t="s">
        <v>97</v>
      </c>
      <c r="D62" s="4" t="s">
        <v>19</v>
      </c>
      <c r="E62" s="4" t="s">
        <v>20</v>
      </c>
      <c r="F62" s="4" t="s">
        <v>21</v>
      </c>
      <c r="G62" s="4" t="s">
        <v>16</v>
      </c>
      <c r="H62" s="4">
        <v>9</v>
      </c>
      <c r="I62" s="4">
        <v>5</v>
      </c>
      <c r="J62" s="4">
        <f t="shared" si="0"/>
        <v>5.8</v>
      </c>
    </row>
    <row r="63" spans="2:10" x14ac:dyDescent="0.25">
      <c r="B63" s="3" t="s">
        <v>98</v>
      </c>
      <c r="C63" s="4" t="s">
        <v>12</v>
      </c>
      <c r="D63" s="4" t="s">
        <v>13</v>
      </c>
      <c r="E63" s="4" t="s">
        <v>14</v>
      </c>
      <c r="F63" s="4" t="s">
        <v>15</v>
      </c>
      <c r="G63" s="4" t="s">
        <v>16</v>
      </c>
      <c r="H63" s="4">
        <v>4</v>
      </c>
      <c r="I63" s="4">
        <v>8</v>
      </c>
      <c r="J63" s="4">
        <f t="shared" si="0"/>
        <v>7.2</v>
      </c>
    </row>
    <row r="64" spans="2:10" x14ac:dyDescent="0.25">
      <c r="B64" s="3" t="s">
        <v>99</v>
      </c>
      <c r="C64" s="4" t="s">
        <v>12</v>
      </c>
      <c r="D64" s="4" t="s">
        <v>39</v>
      </c>
      <c r="E64" s="5" t="s">
        <v>20</v>
      </c>
      <c r="F64" s="4" t="s">
        <v>21</v>
      </c>
      <c r="G64" s="4" t="s">
        <v>16</v>
      </c>
      <c r="H64" s="4">
        <v>5</v>
      </c>
      <c r="I64" s="4">
        <v>10</v>
      </c>
      <c r="J64" s="4">
        <f t="shared" si="0"/>
        <v>9</v>
      </c>
    </row>
    <row r="65" spans="2:10" x14ac:dyDescent="0.25">
      <c r="B65" s="3" t="s">
        <v>100</v>
      </c>
      <c r="C65" s="4" t="s">
        <v>12</v>
      </c>
      <c r="D65" s="4" t="s">
        <v>19</v>
      </c>
      <c r="E65" s="5" t="s">
        <v>20</v>
      </c>
      <c r="F65" s="4" t="s">
        <v>29</v>
      </c>
      <c r="G65" s="4" t="s">
        <v>16</v>
      </c>
      <c r="H65" s="4">
        <v>3</v>
      </c>
      <c r="I65" s="4">
        <v>10</v>
      </c>
      <c r="J65" s="4">
        <f t="shared" si="0"/>
        <v>8.6</v>
      </c>
    </row>
    <row r="66" spans="2:10" x14ac:dyDescent="0.25">
      <c r="B66" s="3" t="s">
        <v>101</v>
      </c>
      <c r="C66" s="4" t="s">
        <v>12</v>
      </c>
      <c r="D66" s="4" t="s">
        <v>39</v>
      </c>
      <c r="E66" s="5" t="s">
        <v>20</v>
      </c>
      <c r="F66" s="4" t="s">
        <v>21</v>
      </c>
      <c r="G66" s="4" t="s">
        <v>16</v>
      </c>
      <c r="H66" s="4">
        <v>3</v>
      </c>
      <c r="I66" s="4">
        <v>10</v>
      </c>
      <c r="J66" s="4">
        <f t="shared" si="0"/>
        <v>8.6</v>
      </c>
    </row>
    <row r="67" spans="2:10" x14ac:dyDescent="0.25">
      <c r="B67" s="3" t="s">
        <v>102</v>
      </c>
      <c r="C67" s="4" t="s">
        <v>12</v>
      </c>
      <c r="D67" s="4" t="s">
        <v>39</v>
      </c>
      <c r="E67" s="4" t="s">
        <v>26</v>
      </c>
      <c r="F67" s="6" t="s">
        <v>27</v>
      </c>
      <c r="G67" s="4" t="s">
        <v>16</v>
      </c>
      <c r="H67" s="4">
        <v>5</v>
      </c>
      <c r="I67" s="4">
        <v>5</v>
      </c>
      <c r="J67" s="4">
        <f t="shared" si="0"/>
        <v>5</v>
      </c>
    </row>
    <row r="68" spans="2:10" x14ac:dyDescent="0.25">
      <c r="B68" s="3" t="s">
        <v>103</v>
      </c>
      <c r="C68" s="4" t="s">
        <v>12</v>
      </c>
      <c r="D68" s="4" t="s">
        <v>19</v>
      </c>
      <c r="E68" s="5" t="s">
        <v>20</v>
      </c>
      <c r="F68" s="4" t="s">
        <v>21</v>
      </c>
      <c r="G68" s="4" t="s">
        <v>22</v>
      </c>
      <c r="H68" s="4">
        <v>7</v>
      </c>
      <c r="I68" s="4">
        <v>7</v>
      </c>
      <c r="J68" s="4">
        <f t="shared" si="0"/>
        <v>7.0000000000000009</v>
      </c>
    </row>
    <row r="69" spans="2:10" x14ac:dyDescent="0.25">
      <c r="B69" s="3" t="s">
        <v>104</v>
      </c>
      <c r="C69" s="4" t="s">
        <v>12</v>
      </c>
      <c r="D69" s="4" t="s">
        <v>19</v>
      </c>
      <c r="E69" s="5" t="s">
        <v>20</v>
      </c>
      <c r="F69" s="4" t="s">
        <v>21</v>
      </c>
      <c r="G69" s="4" t="s">
        <v>16</v>
      </c>
      <c r="H69" s="4">
        <v>7</v>
      </c>
      <c r="I69" s="4">
        <v>5</v>
      </c>
      <c r="J69" s="4">
        <f t="shared" ref="J69:J103" si="1">SUMPRODUCT($R$2:$S$2,H69:I69)</f>
        <v>5.4</v>
      </c>
    </row>
    <row r="70" spans="2:10" x14ac:dyDescent="0.25">
      <c r="B70" s="3" t="s">
        <v>105</v>
      </c>
      <c r="C70" s="4" t="s">
        <v>12</v>
      </c>
      <c r="D70" s="4" t="s">
        <v>37</v>
      </c>
      <c r="E70" s="4" t="s">
        <v>26</v>
      </c>
      <c r="F70" s="6" t="s">
        <v>44</v>
      </c>
      <c r="G70" s="4" t="s">
        <v>16</v>
      </c>
      <c r="H70" s="4">
        <v>5</v>
      </c>
      <c r="I70" s="4">
        <v>4</v>
      </c>
      <c r="J70" s="4">
        <f t="shared" si="1"/>
        <v>4.2</v>
      </c>
    </row>
    <row r="71" spans="2:10" x14ac:dyDescent="0.25">
      <c r="B71" s="3" t="s">
        <v>106</v>
      </c>
      <c r="C71" s="6" t="s">
        <v>107</v>
      </c>
      <c r="D71" s="4" t="s">
        <v>19</v>
      </c>
      <c r="E71" s="4" t="s">
        <v>14</v>
      </c>
      <c r="F71" s="4" t="s">
        <v>70</v>
      </c>
      <c r="G71" s="4" t="s">
        <v>16</v>
      </c>
      <c r="H71" s="4">
        <v>7</v>
      </c>
      <c r="I71" s="4">
        <v>7</v>
      </c>
      <c r="J71" s="4">
        <f t="shared" si="1"/>
        <v>7.0000000000000009</v>
      </c>
    </row>
    <row r="72" spans="2:10" x14ac:dyDescent="0.25">
      <c r="B72" s="3" t="s">
        <v>108</v>
      </c>
      <c r="C72" s="4" t="s">
        <v>51</v>
      </c>
      <c r="D72" s="4" t="s">
        <v>39</v>
      </c>
      <c r="E72" s="5" t="s">
        <v>20</v>
      </c>
      <c r="F72" s="4" t="s">
        <v>29</v>
      </c>
      <c r="G72" s="4" t="s">
        <v>22</v>
      </c>
      <c r="H72" s="4">
        <v>8</v>
      </c>
      <c r="I72" s="4">
        <v>9</v>
      </c>
      <c r="J72" s="4">
        <f t="shared" si="1"/>
        <v>8.8000000000000007</v>
      </c>
    </row>
    <row r="73" spans="2:10" x14ac:dyDescent="0.25">
      <c r="B73" s="3" t="s">
        <v>109</v>
      </c>
      <c r="C73" s="4" t="s">
        <v>12</v>
      </c>
      <c r="D73" s="4" t="s">
        <v>37</v>
      </c>
      <c r="E73" s="4" t="s">
        <v>26</v>
      </c>
      <c r="F73" s="6" t="s">
        <v>44</v>
      </c>
      <c r="G73" s="4" t="s">
        <v>16</v>
      </c>
      <c r="H73" s="4">
        <v>3</v>
      </c>
      <c r="I73" s="4">
        <v>5</v>
      </c>
      <c r="J73" s="4">
        <f t="shared" si="1"/>
        <v>4.5999999999999996</v>
      </c>
    </row>
    <row r="74" spans="2:10" x14ac:dyDescent="0.25">
      <c r="B74" s="3" t="s">
        <v>110</v>
      </c>
      <c r="C74" s="4" t="s">
        <v>12</v>
      </c>
      <c r="D74" s="4" t="s">
        <v>37</v>
      </c>
      <c r="E74" s="5" t="s">
        <v>20</v>
      </c>
      <c r="F74" s="4" t="s">
        <v>29</v>
      </c>
      <c r="G74" s="4" t="s">
        <v>22</v>
      </c>
      <c r="H74" s="4">
        <v>8</v>
      </c>
      <c r="I74" s="4">
        <v>10</v>
      </c>
      <c r="J74" s="4">
        <f t="shared" si="1"/>
        <v>9.6</v>
      </c>
    </row>
    <row r="75" spans="2:10" x14ac:dyDescent="0.25">
      <c r="B75" s="3" t="s">
        <v>111</v>
      </c>
      <c r="C75" s="4" t="s">
        <v>12</v>
      </c>
      <c r="D75" s="4" t="s">
        <v>19</v>
      </c>
      <c r="E75" s="4" t="s">
        <v>26</v>
      </c>
      <c r="F75" s="6" t="s">
        <v>27</v>
      </c>
      <c r="G75" s="4" t="s">
        <v>16</v>
      </c>
      <c r="H75" s="4">
        <v>5</v>
      </c>
      <c r="I75" s="4">
        <v>7</v>
      </c>
      <c r="J75" s="4">
        <f t="shared" si="1"/>
        <v>6.6000000000000005</v>
      </c>
    </row>
    <row r="76" spans="2:10" x14ac:dyDescent="0.25">
      <c r="B76" s="3" t="s">
        <v>112</v>
      </c>
      <c r="C76" s="4" t="s">
        <v>12</v>
      </c>
      <c r="D76" s="4" t="s">
        <v>19</v>
      </c>
      <c r="E76" s="5" t="s">
        <v>20</v>
      </c>
      <c r="F76" s="4" t="s">
        <v>29</v>
      </c>
      <c r="G76" s="4" t="s">
        <v>22</v>
      </c>
      <c r="H76" s="4">
        <v>6</v>
      </c>
      <c r="I76" s="4">
        <v>6</v>
      </c>
      <c r="J76" s="4">
        <f t="shared" si="1"/>
        <v>6.0000000000000009</v>
      </c>
    </row>
    <row r="77" spans="2:10" x14ac:dyDescent="0.25">
      <c r="B77" s="3" t="s">
        <v>113</v>
      </c>
      <c r="C77" s="4" t="s">
        <v>12</v>
      </c>
      <c r="D77" s="4" t="s">
        <v>37</v>
      </c>
      <c r="E77" s="5" t="s">
        <v>20</v>
      </c>
      <c r="F77" s="4" t="s">
        <v>21</v>
      </c>
      <c r="G77" s="4" t="s">
        <v>16</v>
      </c>
      <c r="H77" s="4">
        <v>3</v>
      </c>
      <c r="I77" s="4">
        <v>6</v>
      </c>
      <c r="J77" s="4">
        <f t="shared" si="1"/>
        <v>5.4</v>
      </c>
    </row>
    <row r="78" spans="2:10" x14ac:dyDescent="0.25">
      <c r="B78" s="3" t="s">
        <v>114</v>
      </c>
      <c r="C78" s="4" t="s">
        <v>12</v>
      </c>
      <c r="D78" s="4" t="s">
        <v>25</v>
      </c>
      <c r="E78" s="4" t="s">
        <v>26</v>
      </c>
      <c r="F78" s="6" t="s">
        <v>27</v>
      </c>
      <c r="G78" s="4" t="s">
        <v>16</v>
      </c>
      <c r="H78" s="4">
        <v>8</v>
      </c>
      <c r="I78" s="4">
        <v>10</v>
      </c>
      <c r="J78" s="4">
        <f t="shared" si="1"/>
        <v>9.6</v>
      </c>
    </row>
    <row r="79" spans="2:10" x14ac:dyDescent="0.25">
      <c r="B79" s="3" t="s">
        <v>115</v>
      </c>
      <c r="C79" s="6" t="s">
        <v>88</v>
      </c>
      <c r="D79" s="4" t="s">
        <v>19</v>
      </c>
      <c r="E79" s="4" t="s">
        <v>26</v>
      </c>
      <c r="F79" s="6" t="s">
        <v>44</v>
      </c>
      <c r="G79" s="4" t="s">
        <v>16</v>
      </c>
      <c r="H79" s="4">
        <v>5</v>
      </c>
      <c r="I79" s="4">
        <v>7</v>
      </c>
      <c r="J79" s="4">
        <f t="shared" si="1"/>
        <v>6.6000000000000005</v>
      </c>
    </row>
    <row r="80" spans="2:10" x14ac:dyDescent="0.25">
      <c r="B80" s="3" t="s">
        <v>116</v>
      </c>
      <c r="C80" s="4" t="s">
        <v>12</v>
      </c>
      <c r="D80" s="4" t="s">
        <v>19</v>
      </c>
      <c r="E80" s="5" t="s">
        <v>20</v>
      </c>
      <c r="F80" s="4" t="s">
        <v>21</v>
      </c>
      <c r="G80" s="4" t="s">
        <v>22</v>
      </c>
      <c r="H80" s="4">
        <v>8</v>
      </c>
      <c r="I80" s="4">
        <v>9</v>
      </c>
      <c r="J80" s="4">
        <f t="shared" si="1"/>
        <v>8.8000000000000007</v>
      </c>
    </row>
    <row r="81" spans="2:10" x14ac:dyDescent="0.25">
      <c r="B81" s="3" t="s">
        <v>117</v>
      </c>
      <c r="C81" s="4" t="s">
        <v>12</v>
      </c>
      <c r="D81" s="4" t="s">
        <v>19</v>
      </c>
      <c r="E81" s="4" t="s">
        <v>26</v>
      </c>
      <c r="F81" s="6" t="s">
        <v>44</v>
      </c>
      <c r="G81" s="4" t="s">
        <v>22</v>
      </c>
      <c r="H81" s="4">
        <v>4</v>
      </c>
      <c r="I81" s="4">
        <v>5</v>
      </c>
      <c r="J81" s="4">
        <f t="shared" si="1"/>
        <v>4.8</v>
      </c>
    </row>
    <row r="82" spans="2:10" x14ac:dyDescent="0.25">
      <c r="B82" s="3" t="s">
        <v>118</v>
      </c>
      <c r="C82" s="4" t="s">
        <v>12</v>
      </c>
      <c r="D82" s="4" t="s">
        <v>39</v>
      </c>
      <c r="E82" s="4" t="s">
        <v>26</v>
      </c>
      <c r="F82" s="6" t="s">
        <v>44</v>
      </c>
      <c r="G82" s="4" t="s">
        <v>22</v>
      </c>
      <c r="H82" s="4">
        <v>9</v>
      </c>
      <c r="I82" s="4">
        <v>9</v>
      </c>
      <c r="J82" s="4">
        <f t="shared" si="1"/>
        <v>9</v>
      </c>
    </row>
    <row r="83" spans="2:10" x14ac:dyDescent="0.25">
      <c r="B83" s="3" t="s">
        <v>119</v>
      </c>
      <c r="C83" s="12" t="s">
        <v>120</v>
      </c>
      <c r="D83" s="4" t="s">
        <v>13</v>
      </c>
      <c r="E83" s="4" t="s">
        <v>14</v>
      </c>
      <c r="F83" s="4" t="s">
        <v>15</v>
      </c>
      <c r="G83" s="4" t="s">
        <v>16</v>
      </c>
      <c r="H83" s="4">
        <v>6</v>
      </c>
      <c r="I83" s="4">
        <v>10</v>
      </c>
      <c r="J83" s="4">
        <f t="shared" si="1"/>
        <v>9.1999999999999993</v>
      </c>
    </row>
    <row r="84" spans="2:10" x14ac:dyDescent="0.25">
      <c r="B84" s="3" t="s">
        <v>121</v>
      </c>
      <c r="C84" s="6" t="s">
        <v>93</v>
      </c>
      <c r="D84" s="4" t="s">
        <v>19</v>
      </c>
      <c r="E84" s="5" t="s">
        <v>20</v>
      </c>
      <c r="F84" s="4" t="s">
        <v>21</v>
      </c>
      <c r="G84" s="4" t="s">
        <v>16</v>
      </c>
      <c r="H84" s="4">
        <v>3</v>
      </c>
      <c r="I84" s="4">
        <v>9</v>
      </c>
      <c r="J84" s="4">
        <f t="shared" si="1"/>
        <v>7.8000000000000007</v>
      </c>
    </row>
    <row r="85" spans="2:10" x14ac:dyDescent="0.25">
      <c r="B85" s="3" t="s">
        <v>122</v>
      </c>
      <c r="C85" s="4" t="s">
        <v>12</v>
      </c>
      <c r="D85" s="4" t="s">
        <v>39</v>
      </c>
      <c r="E85" s="4" t="s">
        <v>26</v>
      </c>
      <c r="F85" s="6" t="s">
        <v>44</v>
      </c>
      <c r="G85" s="4" t="s">
        <v>16</v>
      </c>
      <c r="H85" s="4">
        <v>3</v>
      </c>
      <c r="I85" s="4">
        <v>7</v>
      </c>
      <c r="J85" s="4">
        <f t="shared" si="1"/>
        <v>6.2000000000000011</v>
      </c>
    </row>
    <row r="86" spans="2:10" x14ac:dyDescent="0.25">
      <c r="B86" s="3" t="s">
        <v>123</v>
      </c>
      <c r="C86" s="4" t="s">
        <v>12</v>
      </c>
      <c r="D86" s="4" t="s">
        <v>19</v>
      </c>
      <c r="E86" s="4" t="s">
        <v>26</v>
      </c>
      <c r="F86" s="6" t="s">
        <v>44</v>
      </c>
      <c r="G86" s="4" t="s">
        <v>16</v>
      </c>
      <c r="H86" s="4">
        <v>7</v>
      </c>
      <c r="I86" s="4">
        <v>10</v>
      </c>
      <c r="J86" s="4">
        <f t="shared" si="1"/>
        <v>9.4</v>
      </c>
    </row>
    <row r="87" spans="2:10" x14ac:dyDescent="0.25">
      <c r="B87" s="3" t="s">
        <v>124</v>
      </c>
      <c r="C87" s="4" t="s">
        <v>12</v>
      </c>
      <c r="D87" s="4" t="s">
        <v>19</v>
      </c>
      <c r="E87" s="4" t="s">
        <v>26</v>
      </c>
      <c r="F87" s="6" t="s">
        <v>44</v>
      </c>
      <c r="G87" s="4" t="s">
        <v>16</v>
      </c>
      <c r="H87" s="4">
        <v>3</v>
      </c>
      <c r="I87" s="4">
        <v>7</v>
      </c>
      <c r="J87" s="4">
        <f t="shared" si="1"/>
        <v>6.2000000000000011</v>
      </c>
    </row>
    <row r="88" spans="2:10" x14ac:dyDescent="0.25">
      <c r="B88" s="3" t="s">
        <v>125</v>
      </c>
      <c r="C88" s="4" t="s">
        <v>12</v>
      </c>
      <c r="D88" s="4" t="s">
        <v>19</v>
      </c>
      <c r="E88" s="4" t="s">
        <v>26</v>
      </c>
      <c r="F88" s="6" t="s">
        <v>27</v>
      </c>
      <c r="G88" s="4" t="s">
        <v>22</v>
      </c>
      <c r="H88" s="4">
        <v>7</v>
      </c>
      <c r="I88" s="4">
        <v>4</v>
      </c>
      <c r="J88" s="4">
        <f t="shared" si="1"/>
        <v>4.6000000000000005</v>
      </c>
    </row>
    <row r="89" spans="2:10" x14ac:dyDescent="0.25">
      <c r="B89" s="3" t="s">
        <v>126</v>
      </c>
      <c r="C89" s="4" t="s">
        <v>12</v>
      </c>
      <c r="D89" s="4" t="s">
        <v>19</v>
      </c>
      <c r="E89" s="4" t="s">
        <v>26</v>
      </c>
      <c r="F89" s="6" t="s">
        <v>44</v>
      </c>
      <c r="G89" s="4" t="s">
        <v>22</v>
      </c>
      <c r="H89" s="4">
        <v>9</v>
      </c>
      <c r="I89" s="4">
        <v>5</v>
      </c>
      <c r="J89" s="4">
        <f t="shared" si="1"/>
        <v>5.8</v>
      </c>
    </row>
    <row r="90" spans="2:10" x14ac:dyDescent="0.25">
      <c r="B90" s="3" t="s">
        <v>127</v>
      </c>
      <c r="C90" s="4" t="s">
        <v>12</v>
      </c>
      <c r="D90" s="4" t="s">
        <v>19</v>
      </c>
      <c r="E90" s="4" t="s">
        <v>26</v>
      </c>
      <c r="F90" s="6" t="s">
        <v>44</v>
      </c>
      <c r="G90" s="4" t="s">
        <v>16</v>
      </c>
      <c r="H90" s="4">
        <v>3</v>
      </c>
      <c r="I90" s="4">
        <v>6</v>
      </c>
      <c r="J90" s="4">
        <f t="shared" si="1"/>
        <v>5.4</v>
      </c>
    </row>
    <row r="91" spans="2:10" x14ac:dyDescent="0.25">
      <c r="B91" s="3" t="s">
        <v>128</v>
      </c>
      <c r="C91" s="4" t="s">
        <v>12</v>
      </c>
      <c r="D91" s="4" t="s">
        <v>19</v>
      </c>
      <c r="E91" s="5" t="s">
        <v>20</v>
      </c>
      <c r="F91" s="4" t="s">
        <v>21</v>
      </c>
      <c r="G91" s="4" t="s">
        <v>22</v>
      </c>
      <c r="H91" s="4">
        <v>8</v>
      </c>
      <c r="I91" s="4">
        <v>7</v>
      </c>
      <c r="J91" s="4">
        <f t="shared" si="1"/>
        <v>7.2000000000000011</v>
      </c>
    </row>
    <row r="92" spans="2:10" x14ac:dyDescent="0.25">
      <c r="B92" s="3" t="s">
        <v>129</v>
      </c>
      <c r="C92" s="6" t="s">
        <v>93</v>
      </c>
      <c r="D92" s="4" t="s">
        <v>19</v>
      </c>
      <c r="E92" s="4" t="s">
        <v>20</v>
      </c>
      <c r="F92" s="4" t="s">
        <v>21</v>
      </c>
      <c r="G92" s="4" t="s">
        <v>16</v>
      </c>
      <c r="H92" s="4">
        <v>7</v>
      </c>
      <c r="I92" s="4">
        <v>10</v>
      </c>
      <c r="J92" s="4">
        <f t="shared" si="1"/>
        <v>9.4</v>
      </c>
    </row>
    <row r="93" spans="2:10" x14ac:dyDescent="0.25">
      <c r="B93" s="3" t="s">
        <v>130</v>
      </c>
      <c r="C93" s="4" t="s">
        <v>12</v>
      </c>
      <c r="D93" s="4" t="s">
        <v>25</v>
      </c>
      <c r="E93" s="5" t="s">
        <v>20</v>
      </c>
      <c r="F93" s="4" t="s">
        <v>21</v>
      </c>
      <c r="G93" s="4" t="s">
        <v>22</v>
      </c>
      <c r="H93" s="4">
        <v>3</v>
      </c>
      <c r="I93" s="4">
        <v>9</v>
      </c>
      <c r="J93" s="4">
        <f t="shared" si="1"/>
        <v>7.8000000000000007</v>
      </c>
    </row>
    <row r="94" spans="2:10" x14ac:dyDescent="0.25">
      <c r="B94" s="3" t="s">
        <v>131</v>
      </c>
      <c r="C94" s="6" t="s">
        <v>93</v>
      </c>
      <c r="D94" s="4" t="s">
        <v>13</v>
      </c>
      <c r="E94" s="4" t="s">
        <v>14</v>
      </c>
      <c r="F94" s="4" t="s">
        <v>15</v>
      </c>
      <c r="G94" s="4" t="s">
        <v>16</v>
      </c>
      <c r="H94" s="4">
        <v>6</v>
      </c>
      <c r="I94" s="4">
        <v>5</v>
      </c>
      <c r="J94" s="4">
        <f t="shared" si="1"/>
        <v>5.2</v>
      </c>
    </row>
    <row r="95" spans="2:10" x14ac:dyDescent="0.25">
      <c r="B95" s="3" t="s">
        <v>132</v>
      </c>
      <c r="C95" s="4" t="s">
        <v>12</v>
      </c>
      <c r="D95" s="4" t="s">
        <v>19</v>
      </c>
      <c r="E95" s="5" t="s">
        <v>20</v>
      </c>
      <c r="F95" s="4" t="s">
        <v>21</v>
      </c>
      <c r="G95" s="4" t="s">
        <v>16</v>
      </c>
      <c r="H95" s="4">
        <v>8</v>
      </c>
      <c r="I95" s="4">
        <v>7</v>
      </c>
      <c r="J95" s="4">
        <f t="shared" si="1"/>
        <v>7.2000000000000011</v>
      </c>
    </row>
    <row r="96" spans="2:10" x14ac:dyDescent="0.25">
      <c r="B96" s="3" t="s">
        <v>133</v>
      </c>
      <c r="C96" s="4" t="s">
        <v>12</v>
      </c>
      <c r="D96" s="4" t="s">
        <v>19</v>
      </c>
      <c r="E96" s="4" t="s">
        <v>26</v>
      </c>
      <c r="F96" s="6" t="s">
        <v>44</v>
      </c>
      <c r="G96" s="4" t="s">
        <v>22</v>
      </c>
      <c r="H96" s="4">
        <v>3</v>
      </c>
      <c r="I96" s="4">
        <v>6</v>
      </c>
      <c r="J96" s="4">
        <f t="shared" si="1"/>
        <v>5.4</v>
      </c>
    </row>
    <row r="97" spans="2:17" x14ac:dyDescent="0.25">
      <c r="B97" s="3" t="s">
        <v>134</v>
      </c>
      <c r="C97" s="6" t="s">
        <v>135</v>
      </c>
      <c r="D97" s="4" t="s">
        <v>19</v>
      </c>
      <c r="E97" s="4" t="s">
        <v>26</v>
      </c>
      <c r="F97" s="6" t="s">
        <v>44</v>
      </c>
      <c r="G97" s="4" t="s">
        <v>22</v>
      </c>
      <c r="H97" s="4">
        <v>6</v>
      </c>
      <c r="I97" s="4">
        <v>5</v>
      </c>
      <c r="J97" s="4">
        <f t="shared" si="1"/>
        <v>5.2</v>
      </c>
    </row>
    <row r="98" spans="2:17" x14ac:dyDescent="0.25">
      <c r="B98" s="3" t="s">
        <v>136</v>
      </c>
      <c r="C98" s="4" t="s">
        <v>12</v>
      </c>
      <c r="D98" s="4" t="s">
        <v>19</v>
      </c>
      <c r="E98" s="5" t="s">
        <v>20</v>
      </c>
      <c r="F98" s="4" t="s">
        <v>29</v>
      </c>
      <c r="G98" s="4" t="s">
        <v>16</v>
      </c>
      <c r="H98" s="4">
        <v>7</v>
      </c>
      <c r="I98" s="4">
        <v>9</v>
      </c>
      <c r="J98" s="4">
        <f t="shared" si="1"/>
        <v>8.6</v>
      </c>
    </row>
    <row r="99" spans="2:17" x14ac:dyDescent="0.25">
      <c r="B99" s="3" t="s">
        <v>137</v>
      </c>
      <c r="C99" s="4" t="s">
        <v>12</v>
      </c>
      <c r="D99" s="4" t="s">
        <v>19</v>
      </c>
      <c r="E99" s="5" t="s">
        <v>20</v>
      </c>
      <c r="F99" s="4" t="s">
        <v>29</v>
      </c>
      <c r="G99" s="4" t="s">
        <v>16</v>
      </c>
      <c r="H99" s="4">
        <v>6</v>
      </c>
      <c r="I99" s="4">
        <v>10</v>
      </c>
      <c r="J99" s="4">
        <f t="shared" si="1"/>
        <v>9.1999999999999993</v>
      </c>
    </row>
    <row r="100" spans="2:17" x14ac:dyDescent="0.25">
      <c r="B100" s="3" t="s">
        <v>138</v>
      </c>
      <c r="C100" s="6" t="s">
        <v>51</v>
      </c>
      <c r="D100" s="4" t="s">
        <v>19</v>
      </c>
      <c r="E100" s="5" t="s">
        <v>20</v>
      </c>
      <c r="F100" s="4" t="s">
        <v>29</v>
      </c>
      <c r="G100" s="4" t="s">
        <v>16</v>
      </c>
      <c r="H100" s="4">
        <v>3</v>
      </c>
      <c r="I100" s="4">
        <v>9</v>
      </c>
      <c r="J100" s="4">
        <f t="shared" si="1"/>
        <v>7.8000000000000007</v>
      </c>
      <c r="Q100" t="s">
        <v>146</v>
      </c>
    </row>
    <row r="101" spans="2:17" x14ac:dyDescent="0.25">
      <c r="B101" s="3" t="s">
        <v>139</v>
      </c>
      <c r="C101" s="4" t="s">
        <v>12</v>
      </c>
      <c r="D101" s="4" t="s">
        <v>19</v>
      </c>
      <c r="E101" s="5" t="s">
        <v>20</v>
      </c>
      <c r="F101" s="4" t="s">
        <v>21</v>
      </c>
      <c r="G101" s="4" t="s">
        <v>16</v>
      </c>
      <c r="H101" s="4">
        <v>4</v>
      </c>
      <c r="I101" s="4">
        <v>10</v>
      </c>
      <c r="J101" s="4">
        <f t="shared" si="1"/>
        <v>8.8000000000000007</v>
      </c>
    </row>
    <row r="102" spans="2:17" x14ac:dyDescent="0.25">
      <c r="B102" s="3" t="s">
        <v>140</v>
      </c>
      <c r="C102" s="4" t="s">
        <v>12</v>
      </c>
      <c r="D102" s="4" t="s">
        <v>19</v>
      </c>
      <c r="E102" s="5" t="s">
        <v>20</v>
      </c>
      <c r="F102" s="4" t="s">
        <v>29</v>
      </c>
      <c r="G102" s="4" t="s">
        <v>16</v>
      </c>
      <c r="H102" s="4">
        <v>4</v>
      </c>
      <c r="I102" s="4">
        <v>10</v>
      </c>
      <c r="J102" s="4">
        <f t="shared" si="1"/>
        <v>8.8000000000000007</v>
      </c>
    </row>
    <row r="103" spans="2:17" x14ac:dyDescent="0.25">
      <c r="B103" s="3" t="s">
        <v>141</v>
      </c>
      <c r="C103" s="4" t="s">
        <v>12</v>
      </c>
      <c r="D103" s="4" t="s">
        <v>19</v>
      </c>
      <c r="E103" s="4" t="s">
        <v>26</v>
      </c>
      <c r="F103" s="6" t="s">
        <v>27</v>
      </c>
      <c r="G103" s="4" t="s">
        <v>16</v>
      </c>
      <c r="H103" s="4">
        <v>5</v>
      </c>
      <c r="I103" s="4">
        <v>10</v>
      </c>
      <c r="J103" s="4">
        <f t="shared" si="1"/>
        <v>9</v>
      </c>
    </row>
  </sheetData>
  <autoFilter ref="B3:I103" xr:uid="{00000000-0009-0000-0000-000000000000}"/>
  <mergeCells count="2">
    <mergeCell ref="L3:Q3"/>
    <mergeCell ref="L4:Q4"/>
  </mergeCells>
  <hyperlinks>
    <hyperlink ref="L12" location="'Reto 5'!Q100" display="Veni" xr:uid="{E1838ECF-B721-45D2-953C-559AC81EC382}"/>
  </hyperlink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2018-04-13T14:08:25Z</dcterms:created>
  <dcterms:modified xsi:type="dcterms:W3CDTF">2026-04-29T02:44:25Z</dcterms:modified>
</cp:coreProperties>
</file>